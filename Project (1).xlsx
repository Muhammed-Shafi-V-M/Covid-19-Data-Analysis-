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hafi\Downloads\"/>
    </mc:Choice>
  </mc:AlternateContent>
  <xr:revisionPtr revIDLastSave="0" documentId="13_ncr:1_{16594109-61B5-4B3B-A846-81621F16327E}" xr6:coauthVersionLast="47" xr6:coauthVersionMax="47" xr10:uidLastSave="{00000000-0000-0000-0000-000000000000}"/>
  <bookViews>
    <workbookView xWindow="-108" yWindow="-108" windowWidth="23256" windowHeight="12456" activeTab="3" xr2:uid="{3C2E4408-6709-4782-8F3B-93E61EA7D944}"/>
  </bookViews>
  <sheets>
    <sheet name="Table" sheetId="1" r:id="rId1"/>
    <sheet name="population" sheetId="4" r:id="rId2"/>
    <sheet name="pivot" sheetId="2" r:id="rId3"/>
    <sheet name="Dashboard" sheetId="3" r:id="rId4"/>
  </sheets>
  <definedNames>
    <definedName name="Slicer_Zon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U2" i="1"/>
  <c r="T2" i="1"/>
</calcChain>
</file>

<file path=xl/sharedStrings.xml><?xml version="1.0" encoding="utf-8"?>
<sst xmlns="http://schemas.openxmlformats.org/spreadsheetml/2006/main" count="357" uniqueCount="73">
  <si>
    <t>Below Average</t>
  </si>
  <si>
    <t>East</t>
  </si>
  <si>
    <t>West Bengal</t>
  </si>
  <si>
    <t>Above Average</t>
  </si>
  <si>
    <t>North</t>
  </si>
  <si>
    <t>Uttarakhand</t>
  </si>
  <si>
    <t>Uttar Pradesh</t>
  </si>
  <si>
    <t>Tripura</t>
  </si>
  <si>
    <t>South</t>
  </si>
  <si>
    <t>Telengana</t>
  </si>
  <si>
    <t>Tamil Nadu</t>
  </si>
  <si>
    <t>Sikkim</t>
  </si>
  <si>
    <t>West</t>
  </si>
  <si>
    <t>Rajasthan</t>
  </si>
  <si>
    <t>Punjab</t>
  </si>
  <si>
    <t>Puducherry</t>
  </si>
  <si>
    <t>Odisha</t>
  </si>
  <si>
    <t>Nagaland</t>
  </si>
  <si>
    <t>Mizoram</t>
  </si>
  <si>
    <t>Meghalaya</t>
  </si>
  <si>
    <t>Manipur</t>
  </si>
  <si>
    <t>Maharashtra</t>
  </si>
  <si>
    <t>Madhya Pradesh</t>
  </si>
  <si>
    <t>Lakshadweep</t>
  </si>
  <si>
    <t>Ladakh</t>
  </si>
  <si>
    <t>Kerala</t>
  </si>
  <si>
    <t>Karnataka</t>
  </si>
  <si>
    <t>Jharkhand</t>
  </si>
  <si>
    <t>Jammu and Kashmir</t>
  </si>
  <si>
    <t>Himachal Pradesh</t>
  </si>
  <si>
    <t>Haryana</t>
  </si>
  <si>
    <t>Gujarat</t>
  </si>
  <si>
    <t>Goa</t>
  </si>
  <si>
    <t>Delhi</t>
  </si>
  <si>
    <t>Daman and Diu</t>
  </si>
  <si>
    <t>Chhattisgarh</t>
  </si>
  <si>
    <t>Chandigarh</t>
  </si>
  <si>
    <t>Bihar</t>
  </si>
  <si>
    <t>Assam</t>
  </si>
  <si>
    <t>Arunachal Pradesh</t>
  </si>
  <si>
    <t>Andhra Pradesh</t>
  </si>
  <si>
    <t>Andaman and Nicobar</t>
  </si>
  <si>
    <t>Population</t>
  </si>
  <si>
    <t>Death Avg</t>
  </si>
  <si>
    <t>Death Ratio</t>
  </si>
  <si>
    <t>Discharge Avg</t>
  </si>
  <si>
    <t>Discharge Ratio</t>
  </si>
  <si>
    <t>Active Ratio</t>
  </si>
  <si>
    <t>Deaths</t>
  </si>
  <si>
    <t>Discharged</t>
  </si>
  <si>
    <t>Active</t>
  </si>
  <si>
    <t>Total Cases</t>
  </si>
  <si>
    <t>Zone</t>
  </si>
  <si>
    <t>State/UTs</t>
  </si>
  <si>
    <t>Row Labels</t>
  </si>
  <si>
    <t>Grand Total</t>
  </si>
  <si>
    <t>cases 2019</t>
  </si>
  <si>
    <t>cases 2020</t>
  </si>
  <si>
    <t>population</t>
  </si>
  <si>
    <t>Sum of cases 2019</t>
  </si>
  <si>
    <t>Sum of cases 2020</t>
  </si>
  <si>
    <t>Sum of Deaths</t>
  </si>
  <si>
    <t>Sum of Active</t>
  </si>
  <si>
    <t>Sum of Population</t>
  </si>
  <si>
    <t>Sum of Active Ratio</t>
  </si>
  <si>
    <t>Sum of Total Cases</t>
  </si>
  <si>
    <t>Sum of Discharged</t>
  </si>
  <si>
    <t xml:space="preserve"> Deaths</t>
  </si>
  <si>
    <t>Average of Active Ratio</t>
  </si>
  <si>
    <t>Average of Death Ratio</t>
  </si>
  <si>
    <t>Average of Discharge Ratio</t>
  </si>
  <si>
    <r>
      <t xml:space="preserve">                                                 </t>
    </r>
    <r>
      <rPr>
        <sz val="48"/>
        <color theme="1"/>
        <rFont val="Aptos Narrow"/>
        <family val="2"/>
        <scheme val="minor"/>
      </rPr>
      <t xml:space="preserve">                                   DASHBOARD</t>
    </r>
  </si>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</sst>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b/>
      <sz val="14"/>
      <color theme="0"/>
      <name val="Aptos Narrow"/>
      <family val="2"/>
      <scheme val="minor"/>
    </font>
    <font>
      <sz val="48"/>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0" fillId="0" borderId="1" xfId="0" applyBorder="1"/>
    <xf numFmtId="0" fontId="0" fillId="0" borderId="0" xfId="0" pivotButton="1"/>
    <xf numFmtId="0" fontId="0" fillId="0" borderId="0" xfId="0" applyAlignment="1">
      <alignment horizontal="left"/>
    </xf>
    <xf numFmtId="0" fontId="0" fillId="3" borderId="2" xfId="0" applyFill="1" applyBorder="1"/>
    <xf numFmtId="0" fontId="0" fillId="0" borderId="2" xfId="0" applyBorder="1"/>
    <xf numFmtId="0" fontId="1" fillId="0" borderId="0" xfId="0" applyFont="1" applyAlignment="1">
      <alignment horizontal="center" vertical="center" wrapText="1"/>
    </xf>
    <xf numFmtId="3" fontId="0" fillId="0" borderId="0" xfId="0" applyNumberFormat="1" applyAlignment="1">
      <alignment vertical="center" wrapText="1"/>
    </xf>
    <xf numFmtId="0" fontId="0" fillId="0" borderId="0" xfId="0" applyAlignment="1">
      <alignment vertical="center" wrapText="1"/>
    </xf>
    <xf numFmtId="0" fontId="2" fillId="2" borderId="0" xfId="0" applyFont="1" applyFill="1"/>
    <xf numFmtId="2" fontId="0" fillId="0" borderId="0" xfId="0" applyNumberFormat="1"/>
    <xf numFmtId="0" fontId="0" fillId="4" borderId="0" xfId="0" applyFill="1"/>
    <xf numFmtId="0" fontId="0" fillId="0" borderId="0" xfId="0" applyNumberFormat="1"/>
  </cellXfs>
  <cellStyles count="1">
    <cellStyle name="Normal" xfId="0" builtinId="0"/>
  </cellStyles>
  <dxfs count="21">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4"/>
        <color theme="0"/>
        <name val="Aptos Narrow"/>
        <family val="2"/>
        <scheme val="minor"/>
      </font>
      <fill>
        <patternFill patternType="solid">
          <fgColor theme="4"/>
          <bgColor theme="4"/>
        </patternFill>
      </fill>
    </dxf>
    <dxf>
      <fill>
        <patternFill>
          <fgColor rgb="FFDDEDA9"/>
        </patternFill>
      </fill>
    </dxf>
    <dxf>
      <fill>
        <gradientFill degree="180">
          <stop position="0">
            <color rgb="FFF7E0AD"/>
          </stop>
          <stop position="1">
            <color rgb="FFDDEDA9"/>
          </stop>
        </gradientFill>
      </fill>
    </dxf>
    <dxf>
      <fill>
        <gradientFill degree="180">
          <stop position="0">
            <color rgb="FFDDEDA9"/>
          </stop>
          <stop position="1">
            <color rgb="FFF7E0AD"/>
          </stop>
        </gradientFill>
      </fill>
    </dxf>
    <dxf>
      <fill>
        <patternFill>
          <bgColor theme="5" tint="0.79998168889431442"/>
        </patternFill>
      </fill>
    </dxf>
  </dxfs>
  <tableStyles count="3" defaultTableStyle="TableStyleMedium2" defaultPivotStyle="PivotStyleLight16">
    <tableStyle name="Slicer Style 1" pivot="0" table="0" count="1" xr9:uid="{5A223958-65B0-4B8E-A59A-763C128DF43A}">
      <tableStyleElement type="wholeTable" dxfId="20"/>
    </tableStyle>
    <tableStyle name="Slicer Style 2" pivot="0" table="0" count="2" xr9:uid="{AE6FA743-95D3-4D73-92A2-48CDA4D58647}">
      <tableStyleElement type="wholeTable" dxfId="19"/>
      <tableStyleElement type="headerRow" dxfId="18"/>
    </tableStyle>
    <tableStyle name="Slicer Style 3" pivot="0" table="0" count="1" xr9:uid="{CF7ADADF-EBE7-4789-9289-92D91FE45CD4}">
      <tableStyleElement type="wholeTable" dxfId="17"/>
    </tableStyle>
  </tableStyles>
  <colors>
    <mruColors>
      <color rgb="FFDDEDA9"/>
      <color rgb="FFF7E0AD"/>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[Project.xlsx]pivot!PivotTable4</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CASES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C2-49B9-AA1F-75B3F01E73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C2-49B9-AA1F-75B3F01E73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C2-49B9-AA1F-75B3F01E73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C2-49B9-AA1F-75B3F01E73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pivot!$F$5:$F$9</c:f>
              <c:strCache>
                <c:ptCount val="4"/>
                <c:pt idx="0">
                  <c:v>East</c:v>
                </c:pt>
                <c:pt idx="1">
                  <c:v>North</c:v>
                </c:pt>
                <c:pt idx="2">
                  <c:v>South</c:v>
                </c:pt>
                <c:pt idx="3">
                  <c:v>West</c:v>
                </c:pt>
              </c:strCache>
            </c:strRef>
          </c:cat>
          <c:val>
            <c:numRef>
              <c:f>pivot!$G$5:$G$9</c:f>
              <c:numCache>
                <c:formatCode>General</c:formatCode>
                <c:ptCount val="4"/>
                <c:pt idx="0">
                  <c:v>68173</c:v>
                </c:pt>
                <c:pt idx="1">
                  <c:v>91317</c:v>
                </c:pt>
                <c:pt idx="2">
                  <c:v>130529</c:v>
                </c:pt>
                <c:pt idx="3">
                  <c:v>173511</c:v>
                </c:pt>
              </c:numCache>
            </c:numRef>
          </c:val>
          <c:extLst>
            <c:ext xmlns:c16="http://schemas.microsoft.com/office/drawing/2014/chart" uri="{C3380CC4-5D6E-409C-BE32-E72D297353CC}">
              <c16:uniqueId val="{00000008-96C2-49B9-AA1F-75B3F01E736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40000"/>
          <a:lumOff val="60000"/>
        </a:schemeClr>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[Project.xlsx]pivot!PivotTable1</c:name>
    <c:fmtId val="2"/>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Zone wise</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pivot!$Q$4</c:f>
              <c:strCache>
                <c:ptCount val="1"/>
                <c:pt idx="0">
                  <c:v>Total Cases</c:v>
                </c:pt>
              </c:strCache>
            </c:strRef>
          </c:tx>
          <c:spPr>
            <a:solidFill>
              <a:schemeClr val="accent1">
                <a:tint val="58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pivot!$P$5:$P$9</c:f>
              <c:strCache>
                <c:ptCount val="4"/>
                <c:pt idx="0">
                  <c:v>East</c:v>
                </c:pt>
                <c:pt idx="1">
                  <c:v>North</c:v>
                </c:pt>
                <c:pt idx="2">
                  <c:v>South</c:v>
                </c:pt>
                <c:pt idx="3">
                  <c:v>West</c:v>
                </c:pt>
              </c:strCache>
            </c:strRef>
          </c:cat>
          <c:val>
            <c:numRef>
              <c:f>pivot!$Q$5:$Q$9</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0-0F63-4E4D-A1F0-6684EBE4597F}"/>
            </c:ext>
          </c:extLst>
        </c:ser>
        <c:ser>
          <c:idx val="1"/>
          <c:order val="1"/>
          <c:tx>
            <c:strRef>
              <c:f>pivot!$R$4</c:f>
              <c:strCache>
                <c:ptCount val="1"/>
                <c:pt idx="0">
                  <c:v>Active</c:v>
                </c:pt>
              </c:strCache>
            </c:strRef>
          </c:tx>
          <c:spPr>
            <a:solidFill>
              <a:schemeClr val="accent1">
                <a:tint val="8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pivot!$P$5:$P$9</c:f>
              <c:strCache>
                <c:ptCount val="4"/>
                <c:pt idx="0">
                  <c:v>East</c:v>
                </c:pt>
                <c:pt idx="1">
                  <c:v>North</c:v>
                </c:pt>
                <c:pt idx="2">
                  <c:v>South</c:v>
                </c:pt>
                <c:pt idx="3">
                  <c:v>West</c:v>
                </c:pt>
              </c:strCache>
            </c:strRef>
          </c:cat>
          <c:val>
            <c:numRef>
              <c:f>pivot!$R$5:$R$9</c:f>
              <c:numCache>
                <c:formatCode>General</c:formatCode>
                <c:ptCount val="4"/>
                <c:pt idx="0">
                  <c:v>21406</c:v>
                </c:pt>
                <c:pt idx="1">
                  <c:v>3795</c:v>
                </c:pt>
                <c:pt idx="2">
                  <c:v>94216</c:v>
                </c:pt>
                <c:pt idx="3">
                  <c:v>16501</c:v>
                </c:pt>
              </c:numCache>
            </c:numRef>
          </c:val>
          <c:extLst>
            <c:ext xmlns:c16="http://schemas.microsoft.com/office/drawing/2014/chart" uri="{C3380CC4-5D6E-409C-BE32-E72D297353CC}">
              <c16:uniqueId val="{00000001-0F63-4E4D-A1F0-6684EBE4597F}"/>
            </c:ext>
          </c:extLst>
        </c:ser>
        <c:ser>
          <c:idx val="2"/>
          <c:order val="2"/>
          <c:tx>
            <c:strRef>
              <c:f>pivot!$S$4</c:f>
              <c:strCache>
                <c:ptCount val="1"/>
                <c:pt idx="0">
                  <c:v>Discharged</c:v>
                </c:pt>
              </c:strCache>
            </c:strRef>
          </c:tx>
          <c:spPr>
            <a:solidFill>
              <a:schemeClr val="accent1">
                <a:shade val="8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pivot!$P$5:$P$9</c:f>
              <c:strCache>
                <c:ptCount val="4"/>
                <c:pt idx="0">
                  <c:v>East</c:v>
                </c:pt>
                <c:pt idx="1">
                  <c:v>North</c:v>
                </c:pt>
                <c:pt idx="2">
                  <c:v>South</c:v>
                </c:pt>
                <c:pt idx="3">
                  <c:v>West</c:v>
                </c:pt>
              </c:strCache>
            </c:strRef>
          </c:cat>
          <c:val>
            <c:numRef>
              <c:f>pivot!$S$5:$S$9</c:f>
              <c:numCache>
                <c:formatCode>General</c:formatCode>
                <c:ptCount val="4"/>
                <c:pt idx="0">
                  <c:v>5795207</c:v>
                </c:pt>
                <c:pt idx="1">
                  <c:v>5419995</c:v>
                </c:pt>
                <c:pt idx="2">
                  <c:v>13425793</c:v>
                </c:pt>
                <c:pt idx="3">
                  <c:v>9196864</c:v>
                </c:pt>
              </c:numCache>
            </c:numRef>
          </c:val>
          <c:extLst>
            <c:ext xmlns:c16="http://schemas.microsoft.com/office/drawing/2014/chart" uri="{C3380CC4-5D6E-409C-BE32-E72D297353CC}">
              <c16:uniqueId val="{00000002-0F63-4E4D-A1F0-6684EBE4597F}"/>
            </c:ext>
          </c:extLst>
        </c:ser>
        <c:ser>
          <c:idx val="3"/>
          <c:order val="3"/>
          <c:tx>
            <c:strRef>
              <c:f>pivot!$T$4</c:f>
              <c:strCache>
                <c:ptCount val="1"/>
                <c:pt idx="0">
                  <c:v> Deaths</c:v>
                </c:pt>
              </c:strCache>
            </c:strRef>
          </c:tx>
          <c:spPr>
            <a:solidFill>
              <a:schemeClr val="accent1">
                <a:shade val="58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pivot!$P$5:$P$9</c:f>
              <c:strCache>
                <c:ptCount val="4"/>
                <c:pt idx="0">
                  <c:v>East</c:v>
                </c:pt>
                <c:pt idx="1">
                  <c:v>North</c:v>
                </c:pt>
                <c:pt idx="2">
                  <c:v>South</c:v>
                </c:pt>
                <c:pt idx="3">
                  <c:v>West</c:v>
                </c:pt>
              </c:strCache>
            </c:strRef>
          </c:cat>
          <c:val>
            <c:numRef>
              <c:f>pivot!$T$5:$T$9</c:f>
              <c:numCache>
                <c:formatCode>General</c:formatCode>
                <c:ptCount val="4"/>
                <c:pt idx="0">
                  <c:v>68173</c:v>
                </c:pt>
                <c:pt idx="1">
                  <c:v>91317</c:v>
                </c:pt>
                <c:pt idx="2">
                  <c:v>130529</c:v>
                </c:pt>
                <c:pt idx="3">
                  <c:v>173511</c:v>
                </c:pt>
              </c:numCache>
            </c:numRef>
          </c:val>
          <c:extLst>
            <c:ext xmlns:c16="http://schemas.microsoft.com/office/drawing/2014/chart" uri="{C3380CC4-5D6E-409C-BE32-E72D297353CC}">
              <c16:uniqueId val="{00000003-0F63-4E4D-A1F0-6684EBE4597F}"/>
            </c:ext>
          </c:extLst>
        </c:ser>
        <c:dLbls>
          <c:dLblPos val="outEnd"/>
          <c:showLegendKey val="0"/>
          <c:showVal val="1"/>
          <c:showCatName val="0"/>
          <c:showSerName val="0"/>
          <c:showPercent val="0"/>
          <c:showBubbleSize val="0"/>
        </c:dLbls>
        <c:gapWidth val="444"/>
        <c:overlap val="-90"/>
        <c:axId val="1988816255"/>
        <c:axId val="1988815775"/>
      </c:barChart>
      <c:catAx>
        <c:axId val="198881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8815775"/>
        <c:crosses val="autoZero"/>
        <c:auto val="1"/>
        <c:lblAlgn val="ctr"/>
        <c:lblOffset val="100"/>
        <c:noMultiLvlLbl val="0"/>
      </c:catAx>
      <c:valAx>
        <c:axId val="1988815775"/>
        <c:scaling>
          <c:orientation val="minMax"/>
        </c:scaling>
        <c:delete val="1"/>
        <c:axPos val="l"/>
        <c:numFmt formatCode="General" sourceLinked="1"/>
        <c:majorTickMark val="none"/>
        <c:minorTickMark val="none"/>
        <c:tickLblPos val="nextTo"/>
        <c:crossAx val="19888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40000"/>
          <a:lumOff val="60000"/>
        </a:schemeClr>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[Project.xlsx]pivot!PivotTable2</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TOP</a:t>
            </a:r>
            <a:r>
              <a:rPr lang="en-IN" baseline="0"/>
              <a:t> CASES REPORTED</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pivot!$W$4</c:f>
              <c:strCache>
                <c:ptCount val="1"/>
                <c:pt idx="0">
                  <c:v>Sum of Total Cases</c:v>
                </c:pt>
              </c:strCache>
            </c:strRef>
          </c:tx>
          <c:spPr>
            <a:solidFill>
              <a:schemeClr val="accent1">
                <a:shade val="58000"/>
              </a:schemeClr>
            </a:solidFill>
            <a:ln>
              <a:noFill/>
            </a:ln>
            <a:effectLst/>
          </c:spPr>
          <c:invertIfNegative val="0"/>
          <c:cat>
            <c:strRef>
              <c:f>pivot!$V$5:$V$15</c:f>
              <c:strCache>
                <c:ptCount val="10"/>
                <c:pt idx="0">
                  <c:v>Chhattisgarh</c:v>
                </c:pt>
                <c:pt idx="1">
                  <c:v>Odisha</c:v>
                </c:pt>
                <c:pt idx="2">
                  <c:v>Delhi</c:v>
                </c:pt>
                <c:pt idx="3">
                  <c:v>West Bengal</c:v>
                </c:pt>
                <c:pt idx="4">
                  <c:v>Uttar Pradesh</c:v>
                </c:pt>
                <c:pt idx="5">
                  <c:v>Andhra Pradesh</c:v>
                </c:pt>
                <c:pt idx="6">
                  <c:v>Tamil Nadu</c:v>
                </c:pt>
                <c:pt idx="7">
                  <c:v>Karnataka</c:v>
                </c:pt>
                <c:pt idx="8">
                  <c:v>Kerala</c:v>
                </c:pt>
                <c:pt idx="9">
                  <c:v>Maharashtra</c:v>
                </c:pt>
              </c:strCache>
            </c:strRef>
          </c:cat>
          <c:val>
            <c:numRef>
              <c:f>pivot!$W$5:$W$15</c:f>
              <c:numCache>
                <c:formatCode>General</c:formatCode>
                <c:ptCount val="10"/>
                <c:pt idx="0">
                  <c:v>1006326</c:v>
                </c:pt>
                <c:pt idx="1">
                  <c:v>1045209</c:v>
                </c:pt>
                <c:pt idx="2">
                  <c:v>1440388</c:v>
                </c:pt>
                <c:pt idx="3">
                  <c:v>1603318</c:v>
                </c:pt>
                <c:pt idx="4">
                  <c:v>1710261</c:v>
                </c:pt>
                <c:pt idx="5">
                  <c:v>2069770</c:v>
                </c:pt>
                <c:pt idx="6">
                  <c:v>2714025</c:v>
                </c:pt>
                <c:pt idx="7">
                  <c:v>2991614</c:v>
                </c:pt>
                <c:pt idx="8">
                  <c:v>5055224</c:v>
                </c:pt>
                <c:pt idx="9">
                  <c:v>6623344</c:v>
                </c:pt>
              </c:numCache>
            </c:numRef>
          </c:val>
          <c:extLst>
            <c:ext xmlns:c16="http://schemas.microsoft.com/office/drawing/2014/chart" uri="{C3380CC4-5D6E-409C-BE32-E72D297353CC}">
              <c16:uniqueId val="{00000000-D511-4791-AD99-375EE1567DE1}"/>
            </c:ext>
          </c:extLst>
        </c:ser>
        <c:ser>
          <c:idx val="1"/>
          <c:order val="1"/>
          <c:tx>
            <c:strRef>
              <c:f>pivot!$X$4</c:f>
              <c:strCache>
                <c:ptCount val="1"/>
                <c:pt idx="0">
                  <c:v>Sum of Discharged</c:v>
                </c:pt>
              </c:strCache>
            </c:strRef>
          </c:tx>
          <c:spPr>
            <a:solidFill>
              <a:schemeClr val="accent1">
                <a:shade val="86000"/>
              </a:schemeClr>
            </a:solidFill>
            <a:ln>
              <a:noFill/>
            </a:ln>
            <a:effectLst/>
          </c:spPr>
          <c:invertIfNegative val="0"/>
          <c:cat>
            <c:strRef>
              <c:f>pivot!$V$5:$V$15</c:f>
              <c:strCache>
                <c:ptCount val="10"/>
                <c:pt idx="0">
                  <c:v>Chhattisgarh</c:v>
                </c:pt>
                <c:pt idx="1">
                  <c:v>Odisha</c:v>
                </c:pt>
                <c:pt idx="2">
                  <c:v>Delhi</c:v>
                </c:pt>
                <c:pt idx="3">
                  <c:v>West Bengal</c:v>
                </c:pt>
                <c:pt idx="4">
                  <c:v>Uttar Pradesh</c:v>
                </c:pt>
                <c:pt idx="5">
                  <c:v>Andhra Pradesh</c:v>
                </c:pt>
                <c:pt idx="6">
                  <c:v>Tamil Nadu</c:v>
                </c:pt>
                <c:pt idx="7">
                  <c:v>Karnataka</c:v>
                </c:pt>
                <c:pt idx="8">
                  <c:v>Kerala</c:v>
                </c:pt>
                <c:pt idx="9">
                  <c:v>Maharashtra</c:v>
                </c:pt>
              </c:strCache>
            </c:strRef>
          </c:cat>
          <c:val>
            <c:numRef>
              <c:f>pivot!$X$5:$X$15</c:f>
              <c:numCache>
                <c:formatCode>General</c:formatCode>
                <c:ptCount val="10"/>
                <c:pt idx="0">
                  <c:v>992508</c:v>
                </c:pt>
                <c:pt idx="1">
                  <c:v>1034300</c:v>
                </c:pt>
                <c:pt idx="2">
                  <c:v>1414934</c:v>
                </c:pt>
                <c:pt idx="3">
                  <c:v>1575980</c:v>
                </c:pt>
                <c:pt idx="4">
                  <c:v>1687262</c:v>
                </c:pt>
                <c:pt idx="5">
                  <c:v>2052230</c:v>
                </c:pt>
                <c:pt idx="6">
                  <c:v>2668001</c:v>
                </c:pt>
                <c:pt idx="7">
                  <c:v>2945415</c:v>
                </c:pt>
                <c:pt idx="8">
                  <c:v>4950281</c:v>
                </c:pt>
                <c:pt idx="9">
                  <c:v>6466913</c:v>
                </c:pt>
              </c:numCache>
            </c:numRef>
          </c:val>
          <c:extLst>
            <c:ext xmlns:c16="http://schemas.microsoft.com/office/drawing/2014/chart" uri="{C3380CC4-5D6E-409C-BE32-E72D297353CC}">
              <c16:uniqueId val="{00000001-D511-4791-AD99-375EE1567DE1}"/>
            </c:ext>
          </c:extLst>
        </c:ser>
        <c:ser>
          <c:idx val="2"/>
          <c:order val="2"/>
          <c:tx>
            <c:strRef>
              <c:f>pivot!$Y$4</c:f>
              <c:strCache>
                <c:ptCount val="1"/>
                <c:pt idx="0">
                  <c:v>Sum of Deaths</c:v>
                </c:pt>
              </c:strCache>
            </c:strRef>
          </c:tx>
          <c:spPr>
            <a:solidFill>
              <a:schemeClr val="accent1">
                <a:tint val="86000"/>
              </a:schemeClr>
            </a:solidFill>
            <a:ln>
              <a:noFill/>
            </a:ln>
            <a:effectLst/>
          </c:spPr>
          <c:invertIfNegative val="0"/>
          <c:cat>
            <c:strRef>
              <c:f>pivot!$V$5:$V$15</c:f>
              <c:strCache>
                <c:ptCount val="10"/>
                <c:pt idx="0">
                  <c:v>Chhattisgarh</c:v>
                </c:pt>
                <c:pt idx="1">
                  <c:v>Odisha</c:v>
                </c:pt>
                <c:pt idx="2">
                  <c:v>Delhi</c:v>
                </c:pt>
                <c:pt idx="3">
                  <c:v>West Bengal</c:v>
                </c:pt>
                <c:pt idx="4">
                  <c:v>Uttar Pradesh</c:v>
                </c:pt>
                <c:pt idx="5">
                  <c:v>Andhra Pradesh</c:v>
                </c:pt>
                <c:pt idx="6">
                  <c:v>Tamil Nadu</c:v>
                </c:pt>
                <c:pt idx="7">
                  <c:v>Karnataka</c:v>
                </c:pt>
                <c:pt idx="8">
                  <c:v>Kerala</c:v>
                </c:pt>
                <c:pt idx="9">
                  <c:v>Maharashtra</c:v>
                </c:pt>
              </c:strCache>
            </c:strRef>
          </c:cat>
          <c:val>
            <c:numRef>
              <c:f>pivot!$Y$5:$Y$15</c:f>
              <c:numCache>
                <c:formatCode>General</c:formatCode>
                <c:ptCount val="10"/>
                <c:pt idx="0">
                  <c:v>13588</c:v>
                </c:pt>
                <c:pt idx="1">
                  <c:v>8375</c:v>
                </c:pt>
                <c:pt idx="2">
                  <c:v>25093</c:v>
                </c:pt>
                <c:pt idx="3">
                  <c:v>19307</c:v>
                </c:pt>
                <c:pt idx="4">
                  <c:v>22909</c:v>
                </c:pt>
                <c:pt idx="5">
                  <c:v>14412</c:v>
                </c:pt>
                <c:pt idx="6">
                  <c:v>36273</c:v>
                </c:pt>
                <c:pt idx="7">
                  <c:v>38143</c:v>
                </c:pt>
                <c:pt idx="8">
                  <c:v>35685</c:v>
                </c:pt>
                <c:pt idx="9">
                  <c:v>140565</c:v>
                </c:pt>
              </c:numCache>
            </c:numRef>
          </c:val>
          <c:extLst>
            <c:ext xmlns:c16="http://schemas.microsoft.com/office/drawing/2014/chart" uri="{C3380CC4-5D6E-409C-BE32-E72D297353CC}">
              <c16:uniqueId val="{00000002-D511-4791-AD99-375EE1567DE1}"/>
            </c:ext>
          </c:extLst>
        </c:ser>
        <c:ser>
          <c:idx val="3"/>
          <c:order val="3"/>
          <c:tx>
            <c:strRef>
              <c:f>pivot!$Z$4</c:f>
              <c:strCache>
                <c:ptCount val="1"/>
                <c:pt idx="0">
                  <c:v>Sum of Active</c:v>
                </c:pt>
              </c:strCache>
            </c:strRef>
          </c:tx>
          <c:spPr>
            <a:solidFill>
              <a:schemeClr val="accent1">
                <a:tint val="58000"/>
              </a:schemeClr>
            </a:solidFill>
            <a:ln>
              <a:noFill/>
            </a:ln>
            <a:effectLst/>
          </c:spPr>
          <c:invertIfNegative val="0"/>
          <c:cat>
            <c:strRef>
              <c:f>pivot!$V$5:$V$15</c:f>
              <c:strCache>
                <c:ptCount val="10"/>
                <c:pt idx="0">
                  <c:v>Chhattisgarh</c:v>
                </c:pt>
                <c:pt idx="1">
                  <c:v>Odisha</c:v>
                </c:pt>
                <c:pt idx="2">
                  <c:v>Delhi</c:v>
                </c:pt>
                <c:pt idx="3">
                  <c:v>West Bengal</c:v>
                </c:pt>
                <c:pt idx="4">
                  <c:v>Uttar Pradesh</c:v>
                </c:pt>
                <c:pt idx="5">
                  <c:v>Andhra Pradesh</c:v>
                </c:pt>
                <c:pt idx="6">
                  <c:v>Tamil Nadu</c:v>
                </c:pt>
                <c:pt idx="7">
                  <c:v>Karnataka</c:v>
                </c:pt>
                <c:pt idx="8">
                  <c:v>Kerala</c:v>
                </c:pt>
                <c:pt idx="9">
                  <c:v>Maharashtra</c:v>
                </c:pt>
              </c:strCache>
            </c:strRef>
          </c:cat>
          <c:val>
            <c:numRef>
              <c:f>pivot!$Z$5:$Z$15</c:f>
              <c:numCache>
                <c:formatCode>General</c:formatCode>
                <c:ptCount val="10"/>
                <c:pt idx="0">
                  <c:v>230</c:v>
                </c:pt>
                <c:pt idx="1">
                  <c:v>2534</c:v>
                </c:pt>
                <c:pt idx="2">
                  <c:v>361</c:v>
                </c:pt>
                <c:pt idx="3">
                  <c:v>8031</c:v>
                </c:pt>
                <c:pt idx="4">
                  <c:v>90</c:v>
                </c:pt>
                <c:pt idx="5">
                  <c:v>3128</c:v>
                </c:pt>
                <c:pt idx="6">
                  <c:v>9751</c:v>
                </c:pt>
                <c:pt idx="7">
                  <c:v>8056</c:v>
                </c:pt>
                <c:pt idx="8">
                  <c:v>69258</c:v>
                </c:pt>
                <c:pt idx="9">
                  <c:v>15866</c:v>
                </c:pt>
              </c:numCache>
            </c:numRef>
          </c:val>
          <c:extLst>
            <c:ext xmlns:c16="http://schemas.microsoft.com/office/drawing/2014/chart" uri="{C3380CC4-5D6E-409C-BE32-E72D297353CC}">
              <c16:uniqueId val="{00000003-D511-4791-AD99-375EE1567DE1}"/>
            </c:ext>
          </c:extLst>
        </c:ser>
        <c:dLbls>
          <c:showLegendKey val="0"/>
          <c:showVal val="0"/>
          <c:showCatName val="0"/>
          <c:showSerName val="0"/>
          <c:showPercent val="0"/>
          <c:showBubbleSize val="0"/>
        </c:dLbls>
        <c:gapWidth val="182"/>
        <c:axId val="1988835455"/>
        <c:axId val="1988837855"/>
      </c:barChart>
      <c:catAx>
        <c:axId val="198883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8837855"/>
        <c:crosses val="autoZero"/>
        <c:auto val="1"/>
        <c:lblAlgn val="ctr"/>
        <c:lblOffset val="100"/>
        <c:noMultiLvlLbl val="0"/>
      </c:catAx>
      <c:valAx>
        <c:axId val="198883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8883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40000"/>
          <a:lumOff val="60000"/>
        </a:schemeClr>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[Project.xlsx]pivot!PivotTable7</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RATIO</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pivot!$AC$4</c:f>
              <c:strCache>
                <c:ptCount val="1"/>
                <c:pt idx="0">
                  <c:v>Average of Death Ratio</c:v>
                </c:pt>
              </c:strCache>
            </c:strRef>
          </c:tx>
          <c:spPr>
            <a:solidFill>
              <a:schemeClr val="accent1"/>
            </a:solidFill>
            <a:ln>
              <a:noFill/>
            </a:ln>
            <a:effectLst/>
          </c:spPr>
          <c:invertIfNegative val="0"/>
          <c:cat>
            <c:strRef>
              <c:f>pivot!$AB$5:$AB$15</c:f>
              <c:strCache>
                <c:ptCount val="10"/>
                <c:pt idx="0">
                  <c:v>Assam</c:v>
                </c:pt>
                <c:pt idx="1">
                  <c:v>Himachal Pradesh</c:v>
                </c:pt>
                <c:pt idx="2">
                  <c:v>Jammu and Kashmir</c:v>
                </c:pt>
                <c:pt idx="3">
                  <c:v>Kerala</c:v>
                </c:pt>
                <c:pt idx="4">
                  <c:v>Ladakh</c:v>
                </c:pt>
                <c:pt idx="5">
                  <c:v>Manipur</c:v>
                </c:pt>
                <c:pt idx="6">
                  <c:v>Mizoram</c:v>
                </c:pt>
                <c:pt idx="7">
                  <c:v>Nagaland</c:v>
                </c:pt>
                <c:pt idx="8">
                  <c:v>Telengana</c:v>
                </c:pt>
                <c:pt idx="9">
                  <c:v>West Bengal</c:v>
                </c:pt>
              </c:strCache>
            </c:strRef>
          </c:cat>
          <c:val>
            <c:numRef>
              <c:f>pivot!$AC$5:$AC$15</c:f>
              <c:numCache>
                <c:formatCode>0.00</c:formatCode>
                <c:ptCount val="10"/>
                <c:pt idx="0">
                  <c:v>0.99</c:v>
                </c:pt>
                <c:pt idx="1">
                  <c:v>1.69</c:v>
                </c:pt>
                <c:pt idx="2">
                  <c:v>1.33</c:v>
                </c:pt>
                <c:pt idx="3">
                  <c:v>0.71</c:v>
                </c:pt>
                <c:pt idx="4">
                  <c:v>1</c:v>
                </c:pt>
                <c:pt idx="5">
                  <c:v>1.56</c:v>
                </c:pt>
                <c:pt idx="6">
                  <c:v>0.36</c:v>
                </c:pt>
                <c:pt idx="7">
                  <c:v>2.16</c:v>
                </c:pt>
                <c:pt idx="8">
                  <c:v>0.59</c:v>
                </c:pt>
                <c:pt idx="9">
                  <c:v>1.2</c:v>
                </c:pt>
              </c:numCache>
            </c:numRef>
          </c:val>
          <c:extLst>
            <c:ext xmlns:c16="http://schemas.microsoft.com/office/drawing/2014/chart" uri="{C3380CC4-5D6E-409C-BE32-E72D297353CC}">
              <c16:uniqueId val="{00000000-866F-4D42-9FEB-9AC4D2A87F97}"/>
            </c:ext>
          </c:extLst>
        </c:ser>
        <c:ser>
          <c:idx val="1"/>
          <c:order val="1"/>
          <c:tx>
            <c:strRef>
              <c:f>pivot!$AD$4</c:f>
              <c:strCache>
                <c:ptCount val="1"/>
                <c:pt idx="0">
                  <c:v>Average of Discharge Ratio</c:v>
                </c:pt>
              </c:strCache>
            </c:strRef>
          </c:tx>
          <c:spPr>
            <a:solidFill>
              <a:schemeClr val="accent2"/>
            </a:solidFill>
            <a:ln>
              <a:noFill/>
            </a:ln>
            <a:effectLst/>
          </c:spPr>
          <c:invertIfNegative val="0"/>
          <c:cat>
            <c:strRef>
              <c:f>pivot!$AB$5:$AB$15</c:f>
              <c:strCache>
                <c:ptCount val="10"/>
                <c:pt idx="0">
                  <c:v>Assam</c:v>
                </c:pt>
                <c:pt idx="1">
                  <c:v>Himachal Pradesh</c:v>
                </c:pt>
                <c:pt idx="2">
                  <c:v>Jammu and Kashmir</c:v>
                </c:pt>
                <c:pt idx="3">
                  <c:v>Kerala</c:v>
                </c:pt>
                <c:pt idx="4">
                  <c:v>Ladakh</c:v>
                </c:pt>
                <c:pt idx="5">
                  <c:v>Manipur</c:v>
                </c:pt>
                <c:pt idx="6">
                  <c:v>Mizoram</c:v>
                </c:pt>
                <c:pt idx="7">
                  <c:v>Nagaland</c:v>
                </c:pt>
                <c:pt idx="8">
                  <c:v>Telengana</c:v>
                </c:pt>
                <c:pt idx="9">
                  <c:v>West Bengal</c:v>
                </c:pt>
              </c:strCache>
            </c:strRef>
          </c:cat>
          <c:val>
            <c:numRef>
              <c:f>pivot!$AD$5:$AD$15</c:f>
              <c:numCache>
                <c:formatCode>0.00</c:formatCode>
                <c:ptCount val="10"/>
                <c:pt idx="0">
                  <c:v>98.48</c:v>
                </c:pt>
                <c:pt idx="1">
                  <c:v>97.82</c:v>
                </c:pt>
                <c:pt idx="2">
                  <c:v>98.23</c:v>
                </c:pt>
                <c:pt idx="3">
                  <c:v>97.92</c:v>
                </c:pt>
                <c:pt idx="4">
                  <c:v>98.27</c:v>
                </c:pt>
                <c:pt idx="5">
                  <c:v>97.79</c:v>
                </c:pt>
                <c:pt idx="6">
                  <c:v>95.25</c:v>
                </c:pt>
                <c:pt idx="7">
                  <c:v>97.33</c:v>
                </c:pt>
                <c:pt idx="8">
                  <c:v>98.85</c:v>
                </c:pt>
                <c:pt idx="9">
                  <c:v>98.29</c:v>
                </c:pt>
              </c:numCache>
            </c:numRef>
          </c:val>
          <c:extLst>
            <c:ext xmlns:c16="http://schemas.microsoft.com/office/drawing/2014/chart" uri="{C3380CC4-5D6E-409C-BE32-E72D297353CC}">
              <c16:uniqueId val="{00000001-866F-4D42-9FEB-9AC4D2A87F97}"/>
            </c:ext>
          </c:extLst>
        </c:ser>
        <c:dLbls>
          <c:showLegendKey val="0"/>
          <c:showVal val="0"/>
          <c:showCatName val="0"/>
          <c:showSerName val="0"/>
          <c:showPercent val="0"/>
          <c:showBubbleSize val="0"/>
        </c:dLbls>
        <c:gapWidth val="219"/>
        <c:axId val="1795479519"/>
        <c:axId val="1795466559"/>
      </c:barChart>
      <c:lineChart>
        <c:grouping val="standard"/>
        <c:varyColors val="0"/>
        <c:ser>
          <c:idx val="2"/>
          <c:order val="2"/>
          <c:tx>
            <c:strRef>
              <c:f>pivot!$AE$4</c:f>
              <c:strCache>
                <c:ptCount val="1"/>
                <c:pt idx="0">
                  <c:v>Average of Active Ratio</c:v>
                </c:pt>
              </c:strCache>
            </c:strRef>
          </c:tx>
          <c:spPr>
            <a:ln w="28575" cap="rnd">
              <a:solidFill>
                <a:schemeClr val="accent3"/>
              </a:solidFill>
              <a:round/>
            </a:ln>
            <a:effectLst/>
          </c:spPr>
          <c:marker>
            <c:symbol val="none"/>
          </c:marker>
          <c:cat>
            <c:strRef>
              <c:f>pivot!$AB$5:$AB$15</c:f>
              <c:strCache>
                <c:ptCount val="10"/>
                <c:pt idx="0">
                  <c:v>Assam</c:v>
                </c:pt>
                <c:pt idx="1">
                  <c:v>Himachal Pradesh</c:v>
                </c:pt>
                <c:pt idx="2">
                  <c:v>Jammu and Kashmir</c:v>
                </c:pt>
                <c:pt idx="3">
                  <c:v>Kerala</c:v>
                </c:pt>
                <c:pt idx="4">
                  <c:v>Ladakh</c:v>
                </c:pt>
                <c:pt idx="5">
                  <c:v>Manipur</c:v>
                </c:pt>
                <c:pt idx="6">
                  <c:v>Mizoram</c:v>
                </c:pt>
                <c:pt idx="7">
                  <c:v>Nagaland</c:v>
                </c:pt>
                <c:pt idx="8">
                  <c:v>Telengana</c:v>
                </c:pt>
                <c:pt idx="9">
                  <c:v>West Bengal</c:v>
                </c:pt>
              </c:strCache>
            </c:strRef>
          </c:cat>
          <c:val>
            <c:numRef>
              <c:f>pivot!$AE$5:$AE$15</c:f>
              <c:numCache>
                <c:formatCode>0.00</c:formatCode>
                <c:ptCount val="10"/>
                <c:pt idx="0">
                  <c:v>0.53</c:v>
                </c:pt>
                <c:pt idx="1">
                  <c:v>0.49</c:v>
                </c:pt>
                <c:pt idx="2">
                  <c:v>0.43</c:v>
                </c:pt>
                <c:pt idx="3">
                  <c:v>1.37</c:v>
                </c:pt>
                <c:pt idx="4">
                  <c:v>0.73</c:v>
                </c:pt>
                <c:pt idx="5">
                  <c:v>0.64</c:v>
                </c:pt>
                <c:pt idx="6">
                  <c:v>4.3899999999999997</c:v>
                </c:pt>
                <c:pt idx="7">
                  <c:v>0.51</c:v>
                </c:pt>
                <c:pt idx="8">
                  <c:v>0.56000000000000005</c:v>
                </c:pt>
                <c:pt idx="9">
                  <c:v>0.5</c:v>
                </c:pt>
              </c:numCache>
            </c:numRef>
          </c:val>
          <c:smooth val="0"/>
          <c:extLst>
            <c:ext xmlns:c16="http://schemas.microsoft.com/office/drawing/2014/chart" uri="{C3380CC4-5D6E-409C-BE32-E72D297353CC}">
              <c16:uniqueId val="{00000002-866F-4D42-9FEB-9AC4D2A87F97}"/>
            </c:ext>
          </c:extLst>
        </c:ser>
        <c:dLbls>
          <c:showLegendKey val="0"/>
          <c:showVal val="0"/>
          <c:showCatName val="0"/>
          <c:showSerName val="0"/>
          <c:showPercent val="0"/>
          <c:showBubbleSize val="0"/>
        </c:dLbls>
        <c:marker val="1"/>
        <c:smooth val="0"/>
        <c:axId val="1795486239"/>
        <c:axId val="1795467519"/>
      </c:lineChart>
      <c:catAx>
        <c:axId val="17954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5466559"/>
        <c:crosses val="autoZero"/>
        <c:auto val="1"/>
        <c:lblAlgn val="ctr"/>
        <c:lblOffset val="100"/>
        <c:noMultiLvlLbl val="0"/>
      </c:catAx>
      <c:valAx>
        <c:axId val="1795466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5479519"/>
        <c:crosses val="autoZero"/>
        <c:crossBetween val="between"/>
      </c:valAx>
      <c:valAx>
        <c:axId val="17954675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5486239"/>
        <c:crosses val="max"/>
        <c:crossBetween val="between"/>
      </c:valAx>
      <c:catAx>
        <c:axId val="1795486239"/>
        <c:scaling>
          <c:orientation val="minMax"/>
        </c:scaling>
        <c:delete val="1"/>
        <c:axPos val="b"/>
        <c:numFmt formatCode="General" sourceLinked="1"/>
        <c:majorTickMark val="out"/>
        <c:minorTickMark val="none"/>
        <c:tickLblPos val="nextTo"/>
        <c:crossAx val="17954675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40000"/>
          <a:lumOff val="60000"/>
        </a:schemeClr>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[Project.xlsx]pivot!PivotTable3</c:name>
    <c:fmtId val="7"/>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YEARLY</a:t>
            </a:r>
            <a:r>
              <a:rPr lang="en-IN" baseline="0"/>
              <a:t> REPORTS</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pivot!$AH$4</c:f>
              <c:strCache>
                <c:ptCount val="1"/>
                <c:pt idx="0">
                  <c:v>Sum of cases 2019</c:v>
                </c:pt>
              </c:strCache>
            </c:strRef>
          </c:tx>
          <c:spPr>
            <a:solidFill>
              <a:schemeClr val="accent1"/>
            </a:solidFill>
            <a:ln>
              <a:noFill/>
            </a:ln>
            <a:effectLst/>
          </c:spPr>
          <c:invertIfNegative val="0"/>
          <c:cat>
            <c:strRef>
              <c:f>pivot!$AG$5:$AG$41</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pivot!$AH$5:$AH$41</c:f>
              <c:numCache>
                <c:formatCode>General</c:formatCode>
                <c:ptCount val="36"/>
                <c:pt idx="0">
                  <c:v>2301</c:v>
                </c:pt>
                <c:pt idx="1">
                  <c:v>620931</c:v>
                </c:pt>
                <c:pt idx="2">
                  <c:v>16565</c:v>
                </c:pt>
                <c:pt idx="3">
                  <c:v>184135</c:v>
                </c:pt>
                <c:pt idx="4">
                  <c:v>217846</c:v>
                </c:pt>
                <c:pt idx="5">
                  <c:v>19614</c:v>
                </c:pt>
                <c:pt idx="6">
                  <c:v>301898</c:v>
                </c:pt>
                <c:pt idx="7">
                  <c:v>3205</c:v>
                </c:pt>
                <c:pt idx="8">
                  <c:v>432116</c:v>
                </c:pt>
                <c:pt idx="9">
                  <c:v>53540</c:v>
                </c:pt>
                <c:pt idx="10">
                  <c:v>248077</c:v>
                </c:pt>
                <c:pt idx="11">
                  <c:v>231426</c:v>
                </c:pt>
                <c:pt idx="12">
                  <c:v>67714</c:v>
                </c:pt>
                <c:pt idx="13">
                  <c:v>100202</c:v>
                </c:pt>
                <c:pt idx="14">
                  <c:v>104698</c:v>
                </c:pt>
                <c:pt idx="15">
                  <c:v>897484</c:v>
                </c:pt>
                <c:pt idx="16">
                  <c:v>1516567</c:v>
                </c:pt>
                <c:pt idx="17">
                  <c:v>6344</c:v>
                </c:pt>
                <c:pt idx="18">
                  <c:v>3110</c:v>
                </c:pt>
                <c:pt idx="19">
                  <c:v>237887</c:v>
                </c:pt>
                <c:pt idx="20">
                  <c:v>1987003</c:v>
                </c:pt>
                <c:pt idx="21">
                  <c:v>37330</c:v>
                </c:pt>
                <c:pt idx="22">
                  <c:v>25204</c:v>
                </c:pt>
                <c:pt idx="23">
                  <c:v>38581</c:v>
                </c:pt>
                <c:pt idx="24">
                  <c:v>9593</c:v>
                </c:pt>
                <c:pt idx="25">
                  <c:v>313563</c:v>
                </c:pt>
                <c:pt idx="26">
                  <c:v>38520</c:v>
                </c:pt>
                <c:pt idx="27">
                  <c:v>180833</c:v>
                </c:pt>
                <c:pt idx="28">
                  <c:v>286351</c:v>
                </c:pt>
                <c:pt idx="29">
                  <c:v>9629</c:v>
                </c:pt>
                <c:pt idx="30">
                  <c:v>814208</c:v>
                </c:pt>
                <c:pt idx="31">
                  <c:v>202041</c:v>
                </c:pt>
                <c:pt idx="32">
                  <c:v>25400</c:v>
                </c:pt>
                <c:pt idx="33">
                  <c:v>513078</c:v>
                </c:pt>
                <c:pt idx="34">
                  <c:v>103204</c:v>
                </c:pt>
                <c:pt idx="35">
                  <c:v>480995</c:v>
                </c:pt>
              </c:numCache>
            </c:numRef>
          </c:val>
          <c:extLst>
            <c:ext xmlns:c16="http://schemas.microsoft.com/office/drawing/2014/chart" uri="{C3380CC4-5D6E-409C-BE32-E72D297353CC}">
              <c16:uniqueId val="{00000000-5EB2-4692-B8DB-69765FA7D152}"/>
            </c:ext>
          </c:extLst>
        </c:ser>
        <c:ser>
          <c:idx val="1"/>
          <c:order val="1"/>
          <c:tx>
            <c:strRef>
              <c:f>pivot!$AI$4</c:f>
              <c:strCache>
                <c:ptCount val="1"/>
                <c:pt idx="0">
                  <c:v>Sum of cases 2020</c:v>
                </c:pt>
              </c:strCache>
            </c:strRef>
          </c:tx>
          <c:spPr>
            <a:solidFill>
              <a:schemeClr val="accent2"/>
            </a:solidFill>
            <a:ln>
              <a:noFill/>
            </a:ln>
            <a:effectLst/>
          </c:spPr>
          <c:invertIfNegative val="0"/>
          <c:cat>
            <c:strRef>
              <c:f>pivot!$AG$5:$AG$41</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pivot!$AI$5:$AI$41</c:f>
              <c:numCache>
                <c:formatCode>General</c:formatCode>
                <c:ptCount val="36"/>
                <c:pt idx="0">
                  <c:v>5369</c:v>
                </c:pt>
                <c:pt idx="1">
                  <c:v>1448839</c:v>
                </c:pt>
                <c:pt idx="2">
                  <c:v>38651</c:v>
                </c:pt>
                <c:pt idx="3">
                  <c:v>429649</c:v>
                </c:pt>
                <c:pt idx="4">
                  <c:v>508307</c:v>
                </c:pt>
                <c:pt idx="5">
                  <c:v>45766</c:v>
                </c:pt>
                <c:pt idx="6">
                  <c:v>704428</c:v>
                </c:pt>
                <c:pt idx="7">
                  <c:v>7477</c:v>
                </c:pt>
                <c:pt idx="8">
                  <c:v>1008272</c:v>
                </c:pt>
                <c:pt idx="9">
                  <c:v>124927</c:v>
                </c:pt>
                <c:pt idx="10">
                  <c:v>578847</c:v>
                </c:pt>
                <c:pt idx="11">
                  <c:v>539994</c:v>
                </c:pt>
                <c:pt idx="12">
                  <c:v>157998</c:v>
                </c:pt>
                <c:pt idx="13">
                  <c:v>233804</c:v>
                </c:pt>
                <c:pt idx="14">
                  <c:v>244294</c:v>
                </c:pt>
                <c:pt idx="15">
                  <c:v>2094130</c:v>
                </c:pt>
                <c:pt idx="16">
                  <c:v>3538657</c:v>
                </c:pt>
                <c:pt idx="17">
                  <c:v>14804</c:v>
                </c:pt>
                <c:pt idx="18">
                  <c:v>7255</c:v>
                </c:pt>
                <c:pt idx="19">
                  <c:v>555069</c:v>
                </c:pt>
                <c:pt idx="20">
                  <c:v>4636341</c:v>
                </c:pt>
                <c:pt idx="21">
                  <c:v>87102</c:v>
                </c:pt>
                <c:pt idx="22">
                  <c:v>58809</c:v>
                </c:pt>
                <c:pt idx="23">
                  <c:v>90023</c:v>
                </c:pt>
                <c:pt idx="24">
                  <c:v>22385</c:v>
                </c:pt>
                <c:pt idx="25">
                  <c:v>731646</c:v>
                </c:pt>
                <c:pt idx="26">
                  <c:v>89881</c:v>
                </c:pt>
                <c:pt idx="27">
                  <c:v>421945</c:v>
                </c:pt>
                <c:pt idx="28">
                  <c:v>668152</c:v>
                </c:pt>
                <c:pt idx="29">
                  <c:v>22467</c:v>
                </c:pt>
                <c:pt idx="30">
                  <c:v>1899817</c:v>
                </c:pt>
                <c:pt idx="31">
                  <c:v>471428</c:v>
                </c:pt>
                <c:pt idx="32">
                  <c:v>59265</c:v>
                </c:pt>
                <c:pt idx="33">
                  <c:v>1197183</c:v>
                </c:pt>
                <c:pt idx="34">
                  <c:v>240810</c:v>
                </c:pt>
                <c:pt idx="35">
                  <c:v>1122323</c:v>
                </c:pt>
              </c:numCache>
            </c:numRef>
          </c:val>
          <c:extLst>
            <c:ext xmlns:c16="http://schemas.microsoft.com/office/drawing/2014/chart" uri="{C3380CC4-5D6E-409C-BE32-E72D297353CC}">
              <c16:uniqueId val="{00000001-5EB2-4692-B8DB-69765FA7D152}"/>
            </c:ext>
          </c:extLst>
        </c:ser>
        <c:dLbls>
          <c:showLegendKey val="0"/>
          <c:showVal val="0"/>
          <c:showCatName val="0"/>
          <c:showSerName val="0"/>
          <c:showPercent val="0"/>
          <c:showBubbleSize val="0"/>
        </c:dLbls>
        <c:gapWidth val="150"/>
        <c:overlap val="100"/>
        <c:axId val="1795483359"/>
        <c:axId val="1795484319"/>
      </c:barChart>
      <c:catAx>
        <c:axId val="17954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5484319"/>
        <c:crosses val="autoZero"/>
        <c:auto val="1"/>
        <c:lblAlgn val="ctr"/>
        <c:lblOffset val="100"/>
        <c:noMultiLvlLbl val="0"/>
      </c:catAx>
      <c:valAx>
        <c:axId val="179548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548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40000"/>
          <a:lumOff val="60000"/>
        </a:schemeClr>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[Project.xlsx]pivot!PivotTable8</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POPULATION</a:t>
            </a:r>
            <a:r>
              <a:rPr lang="en-IN" baseline="0"/>
              <a:t> AND CASES</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pivot!$AM$4</c:f>
              <c:strCache>
                <c:ptCount val="1"/>
                <c:pt idx="0">
                  <c:v>Sum of Total Cases</c:v>
                </c:pt>
              </c:strCache>
            </c:strRef>
          </c:tx>
          <c:spPr>
            <a:ln w="28575" cap="rnd">
              <a:solidFill>
                <a:schemeClr val="accent1"/>
              </a:solidFill>
              <a:round/>
            </a:ln>
            <a:effectLst/>
          </c:spPr>
          <c:marker>
            <c:symbol val="none"/>
          </c:marker>
          <c:cat>
            <c:strRef>
              <c:f>pivot!$AL$5:$AL$15</c:f>
              <c:strCache>
                <c:ptCount val="10"/>
                <c:pt idx="0">
                  <c:v>Andhra Pradesh</c:v>
                </c:pt>
                <c:pt idx="1">
                  <c:v>Bihar</c:v>
                </c:pt>
                <c:pt idx="2">
                  <c:v>Gujarat</c:v>
                </c:pt>
                <c:pt idx="3">
                  <c:v>Karnataka</c:v>
                </c:pt>
                <c:pt idx="4">
                  <c:v>Madhya Pradesh</c:v>
                </c:pt>
                <c:pt idx="5">
                  <c:v>Maharashtra</c:v>
                </c:pt>
                <c:pt idx="6">
                  <c:v>Rajasthan</c:v>
                </c:pt>
                <c:pt idx="7">
                  <c:v>Tamil Nadu</c:v>
                </c:pt>
                <c:pt idx="8">
                  <c:v>Uttar Pradesh</c:v>
                </c:pt>
                <c:pt idx="9">
                  <c:v>West Bengal</c:v>
                </c:pt>
              </c:strCache>
            </c:strRef>
          </c:cat>
          <c:val>
            <c:numRef>
              <c:f>pivot!$AM$5:$AM$15</c:f>
              <c:numCache>
                <c:formatCode>General</c:formatCode>
                <c:ptCount val="10"/>
                <c:pt idx="0">
                  <c:v>2069770</c:v>
                </c:pt>
                <c:pt idx="1">
                  <c:v>726153</c:v>
                </c:pt>
                <c:pt idx="2">
                  <c:v>826924</c:v>
                </c:pt>
                <c:pt idx="3">
                  <c:v>2991614</c:v>
                </c:pt>
                <c:pt idx="4">
                  <c:v>792956</c:v>
                </c:pt>
                <c:pt idx="5">
                  <c:v>6623344</c:v>
                </c:pt>
                <c:pt idx="6">
                  <c:v>954503</c:v>
                </c:pt>
                <c:pt idx="7">
                  <c:v>2714025</c:v>
                </c:pt>
                <c:pt idx="8">
                  <c:v>1710261</c:v>
                </c:pt>
                <c:pt idx="9">
                  <c:v>1603318</c:v>
                </c:pt>
              </c:numCache>
            </c:numRef>
          </c:val>
          <c:smooth val="0"/>
          <c:extLst>
            <c:ext xmlns:c16="http://schemas.microsoft.com/office/drawing/2014/chart" uri="{C3380CC4-5D6E-409C-BE32-E72D297353CC}">
              <c16:uniqueId val="{00000000-AE88-4B4C-833B-86307283B1A7}"/>
            </c:ext>
          </c:extLst>
        </c:ser>
        <c:ser>
          <c:idx val="1"/>
          <c:order val="1"/>
          <c:tx>
            <c:strRef>
              <c:f>pivot!$AN$4</c:f>
              <c:strCache>
                <c:ptCount val="1"/>
                <c:pt idx="0">
                  <c:v>Sum of Population</c:v>
                </c:pt>
              </c:strCache>
            </c:strRef>
          </c:tx>
          <c:spPr>
            <a:ln w="28575" cap="rnd">
              <a:solidFill>
                <a:schemeClr val="accent2"/>
              </a:solidFill>
              <a:round/>
            </a:ln>
            <a:effectLst/>
          </c:spPr>
          <c:marker>
            <c:symbol val="none"/>
          </c:marker>
          <c:cat>
            <c:strRef>
              <c:f>pivot!$AL$5:$AL$15</c:f>
              <c:strCache>
                <c:ptCount val="10"/>
                <c:pt idx="0">
                  <c:v>Andhra Pradesh</c:v>
                </c:pt>
                <c:pt idx="1">
                  <c:v>Bihar</c:v>
                </c:pt>
                <c:pt idx="2">
                  <c:v>Gujarat</c:v>
                </c:pt>
                <c:pt idx="3">
                  <c:v>Karnataka</c:v>
                </c:pt>
                <c:pt idx="4">
                  <c:v>Madhya Pradesh</c:v>
                </c:pt>
                <c:pt idx="5">
                  <c:v>Maharashtra</c:v>
                </c:pt>
                <c:pt idx="6">
                  <c:v>Rajasthan</c:v>
                </c:pt>
                <c:pt idx="7">
                  <c:v>Tamil Nadu</c:v>
                </c:pt>
                <c:pt idx="8">
                  <c:v>Uttar Pradesh</c:v>
                </c:pt>
                <c:pt idx="9">
                  <c:v>West Bengal</c:v>
                </c:pt>
              </c:strCache>
            </c:strRef>
          </c:cat>
          <c:val>
            <c:numRef>
              <c:f>pivot!$AN$5:$AN$15</c:f>
              <c:numCache>
                <c:formatCode>General</c:formatCode>
                <c:ptCount val="10"/>
                <c:pt idx="0">
                  <c:v>91702478</c:v>
                </c:pt>
                <c:pt idx="1">
                  <c:v>128500364</c:v>
                </c:pt>
                <c:pt idx="2">
                  <c:v>70400153</c:v>
                </c:pt>
                <c:pt idx="3">
                  <c:v>69599762</c:v>
                </c:pt>
                <c:pt idx="4">
                  <c:v>85002417</c:v>
                </c:pt>
                <c:pt idx="5">
                  <c:v>124904071</c:v>
                </c:pt>
                <c:pt idx="6">
                  <c:v>79502477</c:v>
                </c:pt>
                <c:pt idx="7">
                  <c:v>83697770</c:v>
                </c:pt>
                <c:pt idx="8">
                  <c:v>231502578</c:v>
                </c:pt>
                <c:pt idx="9">
                  <c:v>100896618</c:v>
                </c:pt>
              </c:numCache>
            </c:numRef>
          </c:val>
          <c:smooth val="0"/>
          <c:extLst>
            <c:ext xmlns:c16="http://schemas.microsoft.com/office/drawing/2014/chart" uri="{C3380CC4-5D6E-409C-BE32-E72D297353CC}">
              <c16:uniqueId val="{00000001-AE88-4B4C-833B-86307283B1A7}"/>
            </c:ext>
          </c:extLst>
        </c:ser>
        <c:dLbls>
          <c:showLegendKey val="0"/>
          <c:showVal val="0"/>
          <c:showCatName val="0"/>
          <c:showSerName val="0"/>
          <c:showPercent val="0"/>
          <c:showBubbleSize val="0"/>
        </c:dLbls>
        <c:smooth val="0"/>
        <c:axId val="2015532911"/>
        <c:axId val="2015534351"/>
      </c:lineChart>
      <c:catAx>
        <c:axId val="201553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15534351"/>
        <c:crosses val="autoZero"/>
        <c:auto val="1"/>
        <c:lblAlgn val="ctr"/>
        <c:lblOffset val="100"/>
        <c:noMultiLvlLbl val="0"/>
      </c:catAx>
      <c:valAx>
        <c:axId val="201553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1553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lumMod val="40000"/>
          <a:lumOff val="60000"/>
        </a:schemeClr>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2454</xdr:colOff>
      <xdr:row>1</xdr:row>
      <xdr:rowOff>112426</xdr:rowOff>
    </xdr:from>
    <xdr:to>
      <xdr:col>24</xdr:col>
      <xdr:colOff>10438</xdr:colOff>
      <xdr:row>38</xdr:row>
      <xdr:rowOff>37476</xdr:rowOff>
    </xdr:to>
    <xdr:sp macro="" textlink="">
      <xdr:nvSpPr>
        <xdr:cNvPr id="21" name="Rectangle 20">
          <a:extLst>
            <a:ext uri="{FF2B5EF4-FFF2-40B4-BE49-F238E27FC236}">
              <a16:creationId xmlns:a16="http://schemas.microsoft.com/office/drawing/2014/main" id="{85AD480E-6040-4FE2-742A-8B0DE601A6F1}"/>
            </a:ext>
          </a:extLst>
        </xdr:cNvPr>
        <xdr:cNvSpPr/>
      </xdr:nvSpPr>
      <xdr:spPr>
        <a:xfrm>
          <a:off x="2454" y="812974"/>
          <a:ext cx="15125081" cy="6746179"/>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46463</xdr:colOff>
      <xdr:row>1</xdr:row>
      <xdr:rowOff>161591</xdr:rowOff>
    </xdr:from>
    <xdr:to>
      <xdr:col>8</xdr:col>
      <xdr:colOff>62399</xdr:colOff>
      <xdr:row>5</xdr:row>
      <xdr:rowOff>172977</xdr:rowOff>
    </xdr:to>
    <xdr:sp macro="" textlink="">
      <xdr:nvSpPr>
        <xdr:cNvPr id="3" name="Rectangle: Rounded Corners 2">
          <a:extLst>
            <a:ext uri="{FF2B5EF4-FFF2-40B4-BE49-F238E27FC236}">
              <a16:creationId xmlns:a16="http://schemas.microsoft.com/office/drawing/2014/main" id="{7EA3EAB6-4DCA-44D0-9362-56716F258CE1}"/>
            </a:ext>
          </a:extLst>
        </xdr:cNvPr>
        <xdr:cNvSpPr/>
      </xdr:nvSpPr>
      <xdr:spPr>
        <a:xfrm>
          <a:off x="46463" y="865234"/>
          <a:ext cx="4832245" cy="756498"/>
        </a:xfrm>
        <a:prstGeom prst="roundRect">
          <a:avLst/>
        </a:prstGeom>
        <a:gradFill flip="none" rotWithShape="1">
          <a:gsLst>
            <a:gs pos="88000">
              <a:schemeClr val="accent1">
                <a:lumMod val="40000"/>
                <a:lumOff val="60000"/>
              </a:schemeClr>
            </a:gs>
            <a:gs pos="0">
              <a:schemeClr val="accent1">
                <a:lumMod val="60000"/>
                <a:lumOff val="40000"/>
              </a:schemeClr>
            </a:gs>
          </a:gsLst>
          <a:lin ang="2700000" scaled="1"/>
          <a:tileRect/>
        </a:gradFill>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tx1"/>
              </a:solidFill>
            </a:rPr>
            <a:t>Covid-19 Data</a:t>
          </a:r>
          <a:r>
            <a:rPr lang="en-IN" sz="4000" baseline="0">
              <a:solidFill>
                <a:schemeClr val="tx1"/>
              </a:solidFill>
            </a:rPr>
            <a:t> : India</a:t>
          </a:r>
        </a:p>
      </xdr:txBody>
    </xdr:sp>
    <xdr:clientData/>
  </xdr:twoCellAnchor>
  <xdr:twoCellAnchor>
    <xdr:from>
      <xdr:col>8</xdr:col>
      <xdr:colOff>197004</xdr:colOff>
      <xdr:row>2</xdr:row>
      <xdr:rowOff>4447</xdr:rowOff>
    </xdr:from>
    <xdr:to>
      <xdr:col>11</xdr:col>
      <xdr:colOff>448850</xdr:colOff>
      <xdr:row>6</xdr:row>
      <xdr:rowOff>14889</xdr:rowOff>
    </xdr:to>
    <xdr:sp macro="" textlink="">
      <xdr:nvSpPr>
        <xdr:cNvPr id="5" name="Rectangle: Rounded Corners 4">
          <a:extLst>
            <a:ext uri="{FF2B5EF4-FFF2-40B4-BE49-F238E27FC236}">
              <a16:creationId xmlns:a16="http://schemas.microsoft.com/office/drawing/2014/main" id="{2684A32B-1B6C-4CCC-91BB-1FEBE78E73C5}"/>
            </a:ext>
          </a:extLst>
        </xdr:cNvPr>
        <xdr:cNvSpPr/>
      </xdr:nvSpPr>
      <xdr:spPr>
        <a:xfrm>
          <a:off x="5093791" y="891365"/>
          <a:ext cx="2088141" cy="759950"/>
        </a:xfrm>
        <a:prstGeom prst="roundRect">
          <a:avLst/>
        </a:prstGeom>
        <a:effectLst>
          <a:outerShdw blurRad="50800" dist="38100" dir="10800000" algn="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8</xdr:col>
      <xdr:colOff>333045</xdr:colOff>
      <xdr:row>2</xdr:row>
      <xdr:rowOff>17344</xdr:rowOff>
    </xdr:from>
    <xdr:to>
      <xdr:col>11</xdr:col>
      <xdr:colOff>343825</xdr:colOff>
      <xdr:row>6</xdr:row>
      <xdr:rowOff>133176</xdr:rowOff>
    </xdr:to>
    <xdr:sp macro="" textlink="">
      <xdr:nvSpPr>
        <xdr:cNvPr id="10" name="TextBox 9">
          <a:extLst>
            <a:ext uri="{FF2B5EF4-FFF2-40B4-BE49-F238E27FC236}">
              <a16:creationId xmlns:a16="http://schemas.microsoft.com/office/drawing/2014/main" id="{0333E357-60B3-3EE9-B128-C4BB70B6D3E1}"/>
            </a:ext>
          </a:extLst>
        </xdr:cNvPr>
        <xdr:cNvSpPr txBox="1"/>
      </xdr:nvSpPr>
      <xdr:spPr>
        <a:xfrm>
          <a:off x="5229832" y="904262"/>
          <a:ext cx="1847075" cy="8653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effectLst/>
              <a:latin typeface="+mn-lt"/>
              <a:ea typeface="+mn-ea"/>
              <a:cs typeface="+mn-cs"/>
            </a:rPr>
            <a:t>    Total</a:t>
          </a:r>
          <a:r>
            <a:rPr lang="en-IN" sz="2000" b="1" baseline="0">
              <a:solidFill>
                <a:schemeClr val="tx1"/>
              </a:solidFill>
              <a:effectLst/>
              <a:latin typeface="+mn-lt"/>
              <a:ea typeface="+mn-ea"/>
              <a:cs typeface="+mn-cs"/>
            </a:rPr>
            <a:t> Cases :</a:t>
          </a:r>
          <a:endParaRPr lang="en-IN" sz="2000">
            <a:solidFill>
              <a:schemeClr val="tx1"/>
            </a:solidFill>
            <a:effectLst/>
          </a:endParaRPr>
        </a:p>
        <a:p>
          <a:pPr algn="l"/>
          <a:r>
            <a:rPr lang="en-IN" sz="2000" b="1" baseline="0">
              <a:solidFill>
                <a:schemeClr val="tx1"/>
              </a:solidFill>
              <a:effectLst/>
              <a:latin typeface="+mn-lt"/>
              <a:ea typeface="+mn-ea"/>
              <a:cs typeface="+mn-cs"/>
            </a:rPr>
            <a:t>          3.44 Cr</a:t>
          </a:r>
          <a:endParaRPr lang="en-IN" sz="2000">
            <a:solidFill>
              <a:schemeClr val="tx1"/>
            </a:solidFill>
            <a:effectLst/>
          </a:endParaRPr>
        </a:p>
        <a:p>
          <a:endParaRPr lang="en-IN" sz="2000">
            <a:solidFill>
              <a:schemeClr val="tx1"/>
            </a:solidFill>
          </a:endParaRPr>
        </a:p>
      </xdr:txBody>
    </xdr:sp>
    <xdr:clientData/>
  </xdr:twoCellAnchor>
  <xdr:twoCellAnchor>
    <xdr:from>
      <xdr:col>7</xdr:col>
      <xdr:colOff>530411</xdr:colOff>
      <xdr:row>6</xdr:row>
      <xdr:rowOff>142310</xdr:rowOff>
    </xdr:from>
    <xdr:to>
      <xdr:col>15</xdr:col>
      <xdr:colOff>156881</xdr:colOff>
      <xdr:row>21</xdr:row>
      <xdr:rowOff>89404</xdr:rowOff>
    </xdr:to>
    <xdr:graphicFrame macro="">
      <xdr:nvGraphicFramePr>
        <xdr:cNvPr id="2" name="Chart 1">
          <a:extLst>
            <a:ext uri="{FF2B5EF4-FFF2-40B4-BE49-F238E27FC236}">
              <a16:creationId xmlns:a16="http://schemas.microsoft.com/office/drawing/2014/main" id="{81C663F9-9BD3-44D9-BF9F-F0EFF5A73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24159</xdr:colOff>
      <xdr:row>2</xdr:row>
      <xdr:rowOff>5529</xdr:rowOff>
    </xdr:from>
    <xdr:to>
      <xdr:col>15</xdr:col>
      <xdr:colOff>273204</xdr:colOff>
      <xdr:row>6</xdr:row>
      <xdr:rowOff>25328</xdr:rowOff>
    </xdr:to>
    <xdr:sp macro="" textlink="">
      <xdr:nvSpPr>
        <xdr:cNvPr id="6" name="Rectangle: Rounded Corners 5">
          <a:extLst>
            <a:ext uri="{FF2B5EF4-FFF2-40B4-BE49-F238E27FC236}">
              <a16:creationId xmlns:a16="http://schemas.microsoft.com/office/drawing/2014/main" id="{A40C5C8D-316E-4149-B25C-2914D4ACE943}"/>
            </a:ext>
          </a:extLst>
        </xdr:cNvPr>
        <xdr:cNvSpPr/>
      </xdr:nvSpPr>
      <xdr:spPr>
        <a:xfrm>
          <a:off x="7369339" y="892447"/>
          <a:ext cx="2085340" cy="769307"/>
        </a:xfrm>
        <a:prstGeom prst="roundRect">
          <a:avLst/>
        </a:prstGeom>
        <a:effectLst>
          <a:outerShdw blurRad="50800" dist="38100" dir="10800000" algn="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483220</xdr:colOff>
      <xdr:row>1</xdr:row>
      <xdr:rowOff>181389</xdr:rowOff>
    </xdr:from>
    <xdr:to>
      <xdr:col>19</xdr:col>
      <xdr:colOff>118948</xdr:colOff>
      <xdr:row>6</xdr:row>
      <xdr:rowOff>28173</xdr:rowOff>
    </xdr:to>
    <xdr:sp macro="" textlink="">
      <xdr:nvSpPr>
        <xdr:cNvPr id="8" name="Rectangle: Rounded Corners 7">
          <a:extLst>
            <a:ext uri="{FF2B5EF4-FFF2-40B4-BE49-F238E27FC236}">
              <a16:creationId xmlns:a16="http://schemas.microsoft.com/office/drawing/2014/main" id="{A3E9D373-D07C-4A26-B496-1E0E9A0A0CCD}"/>
            </a:ext>
          </a:extLst>
        </xdr:cNvPr>
        <xdr:cNvSpPr/>
      </xdr:nvSpPr>
      <xdr:spPr>
        <a:xfrm>
          <a:off x="9664695" y="880930"/>
          <a:ext cx="2084122" cy="783669"/>
        </a:xfrm>
        <a:prstGeom prst="roundRect">
          <a:avLst/>
        </a:prstGeom>
        <a:effectLst>
          <a:outerShdw blurRad="50800" dist="38100" dir="13500000" algn="br"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524299</xdr:colOff>
      <xdr:row>2</xdr:row>
      <xdr:rowOff>34619</xdr:rowOff>
    </xdr:from>
    <xdr:to>
      <xdr:col>19</xdr:col>
      <xdr:colOff>148684</xdr:colOff>
      <xdr:row>7</xdr:row>
      <xdr:rowOff>164381</xdr:rowOff>
    </xdr:to>
    <xdr:sp macro="" textlink="">
      <xdr:nvSpPr>
        <xdr:cNvPr id="20" name="TextBox 19">
          <a:extLst>
            <a:ext uri="{FF2B5EF4-FFF2-40B4-BE49-F238E27FC236}">
              <a16:creationId xmlns:a16="http://schemas.microsoft.com/office/drawing/2014/main" id="{EF894BDB-D99E-42E7-B5C6-5C1F71C208AB}"/>
            </a:ext>
          </a:extLst>
        </xdr:cNvPr>
        <xdr:cNvSpPr txBox="1"/>
      </xdr:nvSpPr>
      <xdr:spPr>
        <a:xfrm>
          <a:off x="9705774" y="921537"/>
          <a:ext cx="2072779" cy="10666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tx1"/>
              </a:solidFill>
              <a:effectLst/>
              <a:latin typeface="+mn-lt"/>
              <a:ea typeface="+mn-ea"/>
              <a:cs typeface="+mn-cs"/>
            </a:rPr>
            <a:t>Total Cases :2020</a:t>
          </a:r>
        </a:p>
        <a:p>
          <a:pPr marL="0" indent="0" algn="l"/>
          <a:r>
            <a:rPr lang="en-IN" sz="2000" b="1">
              <a:solidFill>
                <a:schemeClr val="tx1"/>
              </a:solidFill>
              <a:effectLst/>
              <a:latin typeface="+mn-lt"/>
              <a:ea typeface="+mn-ea"/>
              <a:cs typeface="+mn-cs"/>
            </a:rPr>
            <a:t>            1.03 Cr</a:t>
          </a:r>
        </a:p>
        <a:p>
          <a:pPr marL="0" indent="0"/>
          <a:endParaRPr lang="en-IN" sz="2000" b="1">
            <a:solidFill>
              <a:schemeClr val="tx1"/>
            </a:solidFill>
            <a:effectLst/>
            <a:latin typeface="+mn-lt"/>
            <a:ea typeface="+mn-ea"/>
            <a:cs typeface="+mn-cs"/>
          </a:endParaRPr>
        </a:p>
      </xdr:txBody>
    </xdr:sp>
    <xdr:clientData/>
  </xdr:twoCellAnchor>
  <xdr:twoCellAnchor>
    <xdr:from>
      <xdr:col>12</xdr:col>
      <xdr:colOff>38109</xdr:colOff>
      <xdr:row>2</xdr:row>
      <xdr:rowOff>22821</xdr:rowOff>
    </xdr:from>
    <xdr:to>
      <xdr:col>15</xdr:col>
      <xdr:colOff>473929</xdr:colOff>
      <xdr:row>6</xdr:row>
      <xdr:rowOff>137343</xdr:rowOff>
    </xdr:to>
    <xdr:sp macro="" textlink="">
      <xdr:nvSpPr>
        <xdr:cNvPr id="14" name="TextBox 13">
          <a:extLst>
            <a:ext uri="{FF2B5EF4-FFF2-40B4-BE49-F238E27FC236}">
              <a16:creationId xmlns:a16="http://schemas.microsoft.com/office/drawing/2014/main" id="{5D8B756B-F97D-4C43-9993-DEAF8BEB2029}"/>
            </a:ext>
          </a:extLst>
        </xdr:cNvPr>
        <xdr:cNvSpPr txBox="1"/>
      </xdr:nvSpPr>
      <xdr:spPr>
        <a:xfrm>
          <a:off x="7383289" y="909739"/>
          <a:ext cx="2272115" cy="8640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tx1"/>
              </a:solidFill>
              <a:effectLst/>
              <a:latin typeface="+mn-lt"/>
              <a:ea typeface="+mn-ea"/>
              <a:cs typeface="+mn-cs"/>
            </a:rPr>
            <a:t>Total Cases :2019</a:t>
          </a:r>
        </a:p>
        <a:p>
          <a:pPr marL="0" indent="0" algn="l"/>
          <a:r>
            <a:rPr lang="en-IN" sz="2000" b="1">
              <a:solidFill>
                <a:schemeClr val="tx1"/>
              </a:solidFill>
              <a:effectLst/>
              <a:latin typeface="+mn-lt"/>
              <a:ea typeface="+mn-ea"/>
              <a:cs typeface="+mn-cs"/>
            </a:rPr>
            <a:t>             2.41 Cr</a:t>
          </a:r>
        </a:p>
        <a:p>
          <a:pPr marL="0" indent="0"/>
          <a:endParaRPr lang="en-IN" sz="2000" b="1">
            <a:solidFill>
              <a:schemeClr val="tx1"/>
            </a:solidFill>
            <a:effectLst/>
            <a:latin typeface="+mn-lt"/>
            <a:ea typeface="+mn-ea"/>
            <a:cs typeface="+mn-cs"/>
          </a:endParaRPr>
        </a:p>
      </xdr:txBody>
    </xdr:sp>
    <xdr:clientData/>
  </xdr:twoCellAnchor>
  <xdr:twoCellAnchor>
    <xdr:from>
      <xdr:col>0</xdr:col>
      <xdr:colOff>83634</xdr:colOff>
      <xdr:row>6</xdr:row>
      <xdr:rowOff>149824</xdr:rowOff>
    </xdr:from>
    <xdr:to>
      <xdr:col>7</xdr:col>
      <xdr:colOff>362414</xdr:colOff>
      <xdr:row>21</xdr:row>
      <xdr:rowOff>103696</xdr:rowOff>
    </xdr:to>
    <xdr:graphicFrame macro="">
      <xdr:nvGraphicFramePr>
        <xdr:cNvPr id="11" name="Chart 10">
          <a:extLst>
            <a:ext uri="{FF2B5EF4-FFF2-40B4-BE49-F238E27FC236}">
              <a16:creationId xmlns:a16="http://schemas.microsoft.com/office/drawing/2014/main" id="{7A26170B-BF07-4F51-9196-3AEB4A118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78802</xdr:colOff>
      <xdr:row>22</xdr:row>
      <xdr:rowOff>79216</xdr:rowOff>
    </xdr:from>
    <xdr:to>
      <xdr:col>7</xdr:col>
      <xdr:colOff>357582</xdr:colOff>
      <xdr:row>37</xdr:row>
      <xdr:rowOff>42231</xdr:rowOff>
    </xdr:to>
    <xdr:graphicFrame macro="">
      <xdr:nvGraphicFramePr>
        <xdr:cNvPr id="12" name="Chart 11">
          <a:extLst>
            <a:ext uri="{FF2B5EF4-FFF2-40B4-BE49-F238E27FC236}">
              <a16:creationId xmlns:a16="http://schemas.microsoft.com/office/drawing/2014/main" id="{82684F62-8F2B-44C1-8850-28A7EAFBF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556338</xdr:colOff>
      <xdr:row>22</xdr:row>
      <xdr:rowOff>68705</xdr:rowOff>
    </xdr:from>
    <xdr:to>
      <xdr:col>15</xdr:col>
      <xdr:colOff>99882</xdr:colOff>
      <xdr:row>37</xdr:row>
      <xdr:rowOff>33061</xdr:rowOff>
    </xdr:to>
    <xdr:graphicFrame macro="">
      <xdr:nvGraphicFramePr>
        <xdr:cNvPr id="13" name="Chart 12">
          <a:extLst>
            <a:ext uri="{FF2B5EF4-FFF2-40B4-BE49-F238E27FC236}">
              <a16:creationId xmlns:a16="http://schemas.microsoft.com/office/drawing/2014/main" id="{AC62118D-617D-4A30-83F0-CA9E0C2B5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297419</xdr:colOff>
      <xdr:row>6</xdr:row>
      <xdr:rowOff>148351</xdr:rowOff>
    </xdr:from>
    <xdr:to>
      <xdr:col>22</xdr:col>
      <xdr:colOff>576200</xdr:colOff>
      <xdr:row>21</xdr:row>
      <xdr:rowOff>93263</xdr:rowOff>
    </xdr:to>
    <xdr:graphicFrame macro="">
      <xdr:nvGraphicFramePr>
        <xdr:cNvPr id="15" name="Chart 14">
          <a:extLst>
            <a:ext uri="{FF2B5EF4-FFF2-40B4-BE49-F238E27FC236}">
              <a16:creationId xmlns:a16="http://schemas.microsoft.com/office/drawing/2014/main" id="{2C754597-FF36-4186-A39C-72FCD94A3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371300</xdr:colOff>
      <xdr:row>22</xdr:row>
      <xdr:rowOff>31487</xdr:rowOff>
    </xdr:from>
    <xdr:to>
      <xdr:col>23</xdr:col>
      <xdr:colOff>918575</xdr:colOff>
      <xdr:row>36</xdr:row>
      <xdr:rowOff>170541</xdr:rowOff>
    </xdr:to>
    <xdr:graphicFrame macro="">
      <xdr:nvGraphicFramePr>
        <xdr:cNvPr id="16" name="Chart 15">
          <a:extLst>
            <a:ext uri="{FF2B5EF4-FFF2-40B4-BE49-F238E27FC236}">
              <a16:creationId xmlns:a16="http://schemas.microsoft.com/office/drawing/2014/main" id="{8A022D0B-CF8D-4157-8AC7-EAB45B75B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266980</xdr:colOff>
      <xdr:row>22</xdr:row>
      <xdr:rowOff>67919</xdr:rowOff>
    </xdr:from>
    <xdr:to>
      <xdr:col>18</xdr:col>
      <xdr:colOff>265986</xdr:colOff>
      <xdr:row>37</xdr:row>
      <xdr:rowOff>26416</xdr:rowOff>
    </xdr:to>
    <mc:AlternateContent xmlns:mc="http://schemas.openxmlformats.org/markup-compatibility/2006" xmlns:a14="http://schemas.microsoft.com/office/drawing/2010/main">
      <mc:Choice Requires="a14">
        <xdr:graphicFrame macro="">
          <xdr:nvGraphicFramePr>
            <xdr:cNvPr id="17" name="Zone">
              <a:extLst>
                <a:ext uri="{FF2B5EF4-FFF2-40B4-BE49-F238E27FC236}">
                  <a16:creationId xmlns:a16="http://schemas.microsoft.com/office/drawing/2014/main" id="{15FD04BF-3A6C-4D6A-862C-F0DC4D6E4592}"/>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448455" y="4702378"/>
              <a:ext cx="1835301" cy="2769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shafi" refreshedDate="46063.641594212961" createdVersion="8" refreshedVersion="8" minRefreshableVersion="3" recordCount="36" xr:uid="{E4E883CD-2FA1-4E49-8704-75306C1106D2}">
  <cacheSource type="worksheet">
    <worksheetSource name="Table2"/>
  </cacheSource>
  <cacheFields count="14">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cases 2019" numFmtId="0">
      <sharedItems containsSemiMixedTypes="0" containsString="0" containsNumber="1" containsInteger="1" minValue="2301" maxValue="1987003"/>
    </cacheField>
    <cacheField name="cases 2020" numFmtId="0">
      <sharedItems containsSemiMixedTypes="0" containsString="0" containsNumber="1" containsInteger="1" minValue="5369" maxValue="4636341"/>
    </cacheField>
    <cacheField name="Total Cases" numFmtId="0">
      <sharedItems containsSemiMixedTypes="0" containsString="0" containsNumber="1" containsInteger="1" minValue="7670" maxValue="6623344" count="36">
        <n v="7670"/>
        <n v="2069770"/>
        <n v="55216"/>
        <n v="613784"/>
        <n v="726153"/>
        <n v="65380"/>
        <n v="1006326"/>
        <n v="10682"/>
        <n v="1440388"/>
        <n v="178467"/>
        <n v="826924"/>
        <n v="771420"/>
        <n v="225712"/>
        <n v="334006"/>
        <n v="348992"/>
        <n v="2991614"/>
        <n v="5055224"/>
        <n v="21148"/>
        <n v="10365"/>
        <n v="792956"/>
        <n v="6623344"/>
        <n v="124432"/>
        <n v="84013"/>
        <n v="128604"/>
        <n v="31978"/>
        <n v="1045209"/>
        <n v="128401"/>
        <n v="602778"/>
        <n v="954503"/>
        <n v="32096"/>
        <n v="2714025"/>
        <n v="673469"/>
        <n v="84665"/>
        <n v="1710261"/>
        <n v="344014"/>
        <n v="1603318"/>
      </sharedItems>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acheField>
    <cacheField name="Death Ratio" numFmtId="0">
      <sharedItems containsSemiMixedTypes="0" containsString="0" containsNumber="1" minValue="0.04" maxValue="2.75"/>
    </cacheField>
    <cacheField name="Death Avg" numFmtId="0">
      <sharedItems/>
    </cacheField>
    <cacheField name="Population" numFmtId="0">
      <sharedItems containsSemiMixedTypes="0" containsString="0" containsNumber="1" containsInteger="1" minValue="66001" maxValue="231502578" count="36">
        <n v="399001"/>
        <n v="91702478"/>
        <n v="1711947"/>
        <n v="35998752"/>
        <n v="128500364"/>
        <n v="1158040"/>
        <n v="32199722"/>
        <n v="773997"/>
        <n v="19301096"/>
        <n v="1521992"/>
        <n v="70400153"/>
        <n v="28900667"/>
        <n v="7503010"/>
        <n v="14999397"/>
        <n v="40100376"/>
        <n v="69599762"/>
        <n v="34698876"/>
        <n v="290492"/>
        <n v="66001"/>
        <n v="85002417"/>
        <n v="124904071"/>
        <n v="3436948"/>
        <n v="3772103"/>
        <n v="1308967"/>
        <n v="2073074"/>
        <n v="47099270"/>
        <n v="1646050"/>
        <n v="30501026"/>
        <n v="79502477"/>
        <n v="658019"/>
        <n v="83697770"/>
        <n v="38157311"/>
        <n v="4184959"/>
        <n v="231502578"/>
        <n v="11700099"/>
        <n v="100896618"/>
      </sharedItems>
    </cacheField>
  </cacheFields>
  <extLst>
    <ext xmlns:x14="http://schemas.microsoft.com/office/spreadsheetml/2009/9/main" uri="{725AE2AE-9491-48be-B2B4-4EB974FC3084}">
      <x14:pivotCacheDefinition pivotCacheId="1887441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01"/>
    <n v="5369"/>
    <x v="0"/>
    <n v="7"/>
    <n v="7534"/>
    <n v="129"/>
    <n v="0.09"/>
    <n v="98.23"/>
    <s v="Below Average"/>
    <n v="1.68"/>
    <s v="Above Average"/>
    <x v="0"/>
  </r>
  <r>
    <x v="1"/>
    <x v="0"/>
    <n v="620931"/>
    <n v="1448839"/>
    <x v="1"/>
    <n v="3128"/>
    <n v="2052230"/>
    <n v="14412"/>
    <n v="0.15"/>
    <n v="99.15"/>
    <s v="Above Average"/>
    <n v="0.7"/>
    <s v="Below Average"/>
    <x v="1"/>
  </r>
  <r>
    <x v="2"/>
    <x v="1"/>
    <n v="16565"/>
    <n v="38651"/>
    <x v="2"/>
    <n v="42"/>
    <n v="54894"/>
    <n v="280"/>
    <n v="0.08"/>
    <n v="99.42"/>
    <s v="Above Average"/>
    <n v="0.51"/>
    <s v="Below Average"/>
    <x v="2"/>
  </r>
  <r>
    <x v="3"/>
    <x v="1"/>
    <n v="184135"/>
    <n v="429649"/>
    <x v="3"/>
    <n v="3272"/>
    <n v="604465"/>
    <n v="6047"/>
    <n v="0.53"/>
    <n v="98.48"/>
    <s v="Above Average"/>
    <n v="0.99"/>
    <s v="Below Average"/>
    <x v="3"/>
  </r>
  <r>
    <x v="4"/>
    <x v="1"/>
    <n v="217846"/>
    <n v="508307"/>
    <x v="4"/>
    <n v="29"/>
    <n v="716462"/>
    <n v="9662"/>
    <n v="0"/>
    <n v="98.67"/>
    <s v="Above Average"/>
    <n v="1.33"/>
    <s v="Above Average"/>
    <x v="4"/>
  </r>
  <r>
    <x v="5"/>
    <x v="2"/>
    <n v="19614"/>
    <n v="45766"/>
    <x v="5"/>
    <n v="24"/>
    <n v="64536"/>
    <n v="820"/>
    <n v="0.04"/>
    <n v="98.71"/>
    <s v="Above Average"/>
    <n v="1.25"/>
    <s v="Below Average"/>
    <x v="5"/>
  </r>
  <r>
    <x v="6"/>
    <x v="1"/>
    <n v="301898"/>
    <n v="704428"/>
    <x v="6"/>
    <n v="230"/>
    <n v="992508"/>
    <n v="13588"/>
    <n v="0.02"/>
    <n v="98.63"/>
    <s v="Above Average"/>
    <n v="1.35"/>
    <s v="Above Average"/>
    <x v="6"/>
  </r>
  <r>
    <x v="7"/>
    <x v="3"/>
    <n v="3205"/>
    <n v="7477"/>
    <x v="7"/>
    <n v="0"/>
    <n v="10678"/>
    <n v="4"/>
    <n v="0"/>
    <n v="99.96"/>
    <s v="Above Average"/>
    <n v="0.04"/>
    <s v="Below Average"/>
    <x v="7"/>
  </r>
  <r>
    <x v="8"/>
    <x v="2"/>
    <n v="432116"/>
    <n v="1008272"/>
    <x v="8"/>
    <n v="361"/>
    <n v="1414934"/>
    <n v="25093"/>
    <n v="0.03"/>
    <n v="98.23"/>
    <s v="Below Average"/>
    <n v="1.74"/>
    <s v="Above Average"/>
    <x v="8"/>
  </r>
  <r>
    <x v="9"/>
    <x v="3"/>
    <n v="53540"/>
    <n v="124927"/>
    <x v="9"/>
    <n v="263"/>
    <n v="174830"/>
    <n v="3374"/>
    <n v="0.15"/>
    <n v="97.96"/>
    <s v="Below Average"/>
    <n v="1.89"/>
    <s v="Above Average"/>
    <x v="9"/>
  </r>
  <r>
    <x v="10"/>
    <x v="3"/>
    <n v="248077"/>
    <n v="578847"/>
    <x v="10"/>
    <n v="226"/>
    <n v="816608"/>
    <n v="10090"/>
    <n v="0.03"/>
    <n v="98.75"/>
    <s v="Above Average"/>
    <n v="1.22"/>
    <s v="Below Average"/>
    <x v="10"/>
  </r>
  <r>
    <x v="11"/>
    <x v="2"/>
    <n v="231426"/>
    <n v="539994"/>
    <x v="11"/>
    <n v="140"/>
    <n v="761230"/>
    <n v="10050"/>
    <n v="0.02"/>
    <n v="98.68"/>
    <s v="Above Average"/>
    <n v="1.3"/>
    <s v="Above Average"/>
    <x v="11"/>
  </r>
  <r>
    <x v="12"/>
    <x v="2"/>
    <n v="67714"/>
    <n v="157998"/>
    <x v="12"/>
    <n v="1100"/>
    <n v="220800"/>
    <n v="3812"/>
    <n v="0.49"/>
    <n v="97.82"/>
    <s v="Below Average"/>
    <n v="1.69"/>
    <s v="Above Average"/>
    <x v="12"/>
  </r>
  <r>
    <x v="13"/>
    <x v="2"/>
    <n v="100202"/>
    <n v="233804"/>
    <x v="13"/>
    <n v="1450"/>
    <n v="328108"/>
    <n v="4448"/>
    <n v="0.43"/>
    <n v="98.23"/>
    <s v="Below Average"/>
    <n v="1.33"/>
    <s v="Above Average"/>
    <x v="13"/>
  </r>
  <r>
    <x v="14"/>
    <x v="1"/>
    <n v="104698"/>
    <n v="244294"/>
    <x v="14"/>
    <n v="141"/>
    <n v="343713"/>
    <n v="5138"/>
    <n v="0.04"/>
    <n v="98.49"/>
    <s v="Above Average"/>
    <n v="1.47"/>
    <s v="Above Average"/>
    <x v="14"/>
  </r>
  <r>
    <x v="15"/>
    <x v="0"/>
    <n v="897484"/>
    <n v="2094130"/>
    <x v="15"/>
    <n v="8056"/>
    <n v="2945415"/>
    <n v="38143"/>
    <n v="0.27"/>
    <n v="98.46"/>
    <s v="Above Average"/>
    <n v="1.27"/>
    <s v="Below Average"/>
    <x v="15"/>
  </r>
  <r>
    <x v="16"/>
    <x v="0"/>
    <n v="1516567"/>
    <n v="3538657"/>
    <x v="16"/>
    <n v="69258"/>
    <n v="4950281"/>
    <n v="35685"/>
    <n v="1.37"/>
    <n v="97.92"/>
    <s v="Below Average"/>
    <n v="0.71"/>
    <s v="Below Average"/>
    <x v="16"/>
  </r>
  <r>
    <x v="17"/>
    <x v="2"/>
    <n v="6344"/>
    <n v="14804"/>
    <x v="17"/>
    <n v="154"/>
    <n v="20783"/>
    <n v="211"/>
    <n v="0.73"/>
    <n v="98.27"/>
    <s v="Below Average"/>
    <n v="1"/>
    <s v="Below Average"/>
    <x v="17"/>
  </r>
  <r>
    <x v="18"/>
    <x v="0"/>
    <n v="3110"/>
    <n v="7255"/>
    <x v="18"/>
    <n v="0"/>
    <n v="10314"/>
    <n v="51"/>
    <n v="0"/>
    <n v="99.51"/>
    <s v="Above Average"/>
    <n v="0.49"/>
    <s v="Below Average"/>
    <x v="18"/>
  </r>
  <r>
    <x v="19"/>
    <x v="3"/>
    <n v="237887"/>
    <n v="555069"/>
    <x v="19"/>
    <n v="75"/>
    <n v="782357"/>
    <n v="10524"/>
    <n v="0.01"/>
    <n v="98.66"/>
    <s v="Above Average"/>
    <n v="1.33"/>
    <s v="Above Average"/>
    <x v="19"/>
  </r>
  <r>
    <x v="20"/>
    <x v="3"/>
    <n v="1987003"/>
    <n v="4636341"/>
    <x v="20"/>
    <n v="15866"/>
    <n v="6466913"/>
    <n v="140565"/>
    <n v="0.24"/>
    <n v="97.64"/>
    <s v="Below Average"/>
    <n v="2.12"/>
    <s v="Above Average"/>
    <x v="20"/>
  </r>
  <r>
    <x v="21"/>
    <x v="1"/>
    <n v="37330"/>
    <n v="87102"/>
    <x v="21"/>
    <n v="799"/>
    <n v="121687"/>
    <n v="1946"/>
    <n v="0.64"/>
    <n v="97.79"/>
    <s v="Below Average"/>
    <n v="1.56"/>
    <s v="Above Average"/>
    <x v="21"/>
  </r>
  <r>
    <x v="22"/>
    <x v="1"/>
    <n v="25204"/>
    <n v="58809"/>
    <x v="22"/>
    <n v="277"/>
    <n v="82274"/>
    <n v="1462"/>
    <n v="0.33"/>
    <n v="97.93"/>
    <s v="Below Average"/>
    <n v="1.74"/>
    <s v="Above Average"/>
    <x v="22"/>
  </r>
  <r>
    <x v="23"/>
    <x v="1"/>
    <n v="38581"/>
    <n v="90023"/>
    <x v="23"/>
    <n v="5651"/>
    <n v="122494"/>
    <n v="459"/>
    <n v="4.3899999999999997"/>
    <n v="95.25"/>
    <s v="Below Average"/>
    <n v="0.36"/>
    <s v="Below Average"/>
    <x v="23"/>
  </r>
  <r>
    <x v="24"/>
    <x v="1"/>
    <n v="9593"/>
    <n v="22385"/>
    <x v="24"/>
    <n v="163"/>
    <n v="31123"/>
    <n v="692"/>
    <n v="0.51"/>
    <n v="97.33"/>
    <s v="Below Average"/>
    <n v="2.16"/>
    <s v="Above Average"/>
    <x v="24"/>
  </r>
  <r>
    <x v="25"/>
    <x v="1"/>
    <n v="313563"/>
    <n v="731646"/>
    <x v="25"/>
    <n v="2534"/>
    <n v="1034300"/>
    <n v="8375"/>
    <n v="0.24"/>
    <n v="98.96"/>
    <s v="Above Average"/>
    <n v="0.8"/>
    <s v="Below Average"/>
    <x v="25"/>
  </r>
  <r>
    <x v="26"/>
    <x v="0"/>
    <n v="38520"/>
    <n v="89881"/>
    <x v="26"/>
    <n v="275"/>
    <n v="126263"/>
    <n v="1863"/>
    <n v="0.21"/>
    <n v="98.33"/>
    <s v="Below Average"/>
    <n v="1.45"/>
    <s v="Above Average"/>
    <x v="26"/>
  </r>
  <r>
    <x v="27"/>
    <x v="2"/>
    <n v="180833"/>
    <n v="421945"/>
    <x v="27"/>
    <n v="318"/>
    <n v="585889"/>
    <n v="16571"/>
    <n v="0.05"/>
    <n v="97.2"/>
    <s v="Below Average"/>
    <n v="2.75"/>
    <s v="Above Average"/>
    <x v="27"/>
  </r>
  <r>
    <x v="28"/>
    <x v="3"/>
    <n v="286351"/>
    <n v="668152"/>
    <x v="28"/>
    <n v="71"/>
    <n v="945478"/>
    <n v="8954"/>
    <n v="0.01"/>
    <n v="99.05"/>
    <s v="Above Average"/>
    <n v="0.94"/>
    <s v="Below Average"/>
    <x v="28"/>
  </r>
  <r>
    <x v="29"/>
    <x v="1"/>
    <n v="9629"/>
    <n v="22467"/>
    <x v="29"/>
    <n v="121"/>
    <n v="31575"/>
    <n v="400"/>
    <n v="0.38"/>
    <n v="98.38"/>
    <s v="Above Average"/>
    <n v="1.25"/>
    <s v="Below Average"/>
    <x v="29"/>
  </r>
  <r>
    <x v="30"/>
    <x v="0"/>
    <n v="814208"/>
    <n v="1899817"/>
    <x v="30"/>
    <n v="9751"/>
    <n v="2668001"/>
    <n v="36273"/>
    <n v="0.36"/>
    <n v="98.3"/>
    <s v="Below Average"/>
    <n v="1.34"/>
    <s v="Above Average"/>
    <x v="30"/>
  </r>
  <r>
    <x v="31"/>
    <x v="0"/>
    <n v="202041"/>
    <n v="471428"/>
    <x v="31"/>
    <n v="3741"/>
    <n v="665755"/>
    <n v="3973"/>
    <n v="0.56000000000000005"/>
    <n v="98.85"/>
    <s v="Above Average"/>
    <n v="0.59"/>
    <s v="Below Average"/>
    <x v="31"/>
  </r>
  <r>
    <x v="32"/>
    <x v="1"/>
    <n v="25400"/>
    <n v="59265"/>
    <x v="32"/>
    <n v="116"/>
    <n v="83732"/>
    <n v="817"/>
    <n v="0.14000000000000001"/>
    <n v="98.9"/>
    <s v="Above Average"/>
    <n v="0.96"/>
    <s v="Below Average"/>
    <x v="32"/>
  </r>
  <r>
    <x v="33"/>
    <x v="2"/>
    <n v="513078"/>
    <n v="1197183"/>
    <x v="33"/>
    <n v="90"/>
    <n v="1687262"/>
    <n v="22909"/>
    <n v="0.01"/>
    <n v="98.66"/>
    <s v="Above Average"/>
    <n v="1.34"/>
    <s v="Above Average"/>
    <x v="33"/>
  </r>
  <r>
    <x v="34"/>
    <x v="2"/>
    <n v="103204"/>
    <n v="240810"/>
    <x v="34"/>
    <n v="158"/>
    <n v="336453"/>
    <n v="7403"/>
    <n v="0.05"/>
    <n v="97.8"/>
    <s v="Below Average"/>
    <n v="2.15"/>
    <s v="Above Average"/>
    <x v="34"/>
  </r>
  <r>
    <x v="35"/>
    <x v="1"/>
    <n v="480995"/>
    <n v="1122323"/>
    <x v="35"/>
    <n v="8031"/>
    <n v="1575980"/>
    <n v="19307"/>
    <n v="0.5"/>
    <n v="98.29"/>
    <s v="Below Average"/>
    <n v="1.2"/>
    <s v="Below Average"/>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FAA37-629B-45FF-8E12-050772A97C99}" name="PivotTable10"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 rowHeaderCaption="State">
  <location ref="AQ4:AS10" firstHeaderRow="0" firstDataRow="1" firstDataCol="1"/>
  <pivotFields count="14">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dataField="1" showAll="0">
      <items count="37">
        <item x="18"/>
        <item x="17"/>
        <item x="0"/>
        <item x="29"/>
        <item x="7"/>
        <item x="5"/>
        <item x="23"/>
        <item x="9"/>
        <item x="26"/>
        <item x="2"/>
        <item x="24"/>
        <item x="21"/>
        <item x="22"/>
        <item x="32"/>
        <item x="12"/>
        <item x="34"/>
        <item x="13"/>
        <item x="8"/>
        <item x="11"/>
        <item x="27"/>
        <item x="6"/>
        <item x="16"/>
        <item x="3"/>
        <item x="31"/>
        <item x="14"/>
        <item x="25"/>
        <item x="15"/>
        <item x="10"/>
        <item x="28"/>
        <item x="30"/>
        <item x="19"/>
        <item x="1"/>
        <item x="35"/>
        <item x="20"/>
        <item x="4"/>
        <item x="33"/>
        <item t="default"/>
      </items>
    </pivotField>
  </pivotFields>
  <rowFields count="1">
    <field x="0"/>
  </rowFields>
  <rowItems count="6">
    <i>
      <x v="1"/>
    </i>
    <i>
      <x v="4"/>
    </i>
    <i>
      <x v="20"/>
    </i>
    <i>
      <x v="33"/>
    </i>
    <i>
      <x v="35"/>
    </i>
    <i t="grand">
      <x/>
    </i>
  </rowItems>
  <colFields count="1">
    <field x="-2"/>
  </colFields>
  <colItems count="2">
    <i>
      <x/>
    </i>
    <i i="1">
      <x v="1"/>
    </i>
  </colItems>
  <dataFields count="2">
    <dataField name="Total Cases" fld="4" baseField="0" baseItem="0"/>
    <dataField name="Population" fld="13" baseField="0" baseItem="0"/>
  </dataFields>
  <conditionalFormats count="2">
    <conditionalFormat priority="2">
      <pivotAreas count="1">
        <pivotArea type="data" collapsedLevelsAreSubtotals="1" fieldPosition="0">
          <references count="2">
            <reference field="4294967294" count="1" selected="0">
              <x v="0"/>
            </reference>
            <reference field="0" count="5">
              <x v="1"/>
              <x v="4"/>
              <x v="20"/>
              <x v="33"/>
              <x v="35"/>
            </reference>
          </references>
        </pivotArea>
      </pivotAreas>
    </conditionalFormat>
    <conditionalFormat priority="1">
      <pivotAreas count="1">
        <pivotArea type="data" collapsedLevelsAreSubtotals="1" fieldPosition="0">
          <references count="2">
            <reference field="4294967294" count="1" selected="0">
              <x v="1"/>
            </reference>
            <reference field="0" count="5">
              <x v="1"/>
              <x v="4"/>
              <x v="20"/>
              <x v="33"/>
              <x v="35"/>
            </reference>
          </references>
        </pivotArea>
      </pivotAreas>
    </conditionalFormat>
  </conditional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4"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A91EA-EA9A-4A2E-B46C-A75A6732DF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L4:AN15" firstHeaderRow="0" firstDataRow="1" firstDataCol="1"/>
  <pivotFields count="14">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dataField="1" showAll="0">
      <items count="37">
        <item x="18"/>
        <item x="17"/>
        <item x="0"/>
        <item x="29"/>
        <item x="7"/>
        <item x="5"/>
        <item x="23"/>
        <item x="9"/>
        <item x="26"/>
        <item x="2"/>
        <item x="24"/>
        <item x="21"/>
        <item x="22"/>
        <item x="32"/>
        <item x="12"/>
        <item x="34"/>
        <item x="13"/>
        <item x="8"/>
        <item x="11"/>
        <item x="27"/>
        <item x="6"/>
        <item x="16"/>
        <item x="3"/>
        <item x="31"/>
        <item x="14"/>
        <item x="25"/>
        <item x="15"/>
        <item x="10"/>
        <item x="28"/>
        <item x="30"/>
        <item x="19"/>
        <item x="1"/>
        <item x="35"/>
        <item x="20"/>
        <item x="4"/>
        <item x="33"/>
        <item t="default"/>
      </items>
    </pivotField>
  </pivotFields>
  <rowFields count="1">
    <field x="0"/>
  </rowFields>
  <rowItems count="11">
    <i>
      <x v="1"/>
    </i>
    <i>
      <x v="4"/>
    </i>
    <i>
      <x v="10"/>
    </i>
    <i>
      <x v="15"/>
    </i>
    <i>
      <x v="19"/>
    </i>
    <i>
      <x v="20"/>
    </i>
    <i>
      <x v="28"/>
    </i>
    <i>
      <x v="30"/>
    </i>
    <i>
      <x v="33"/>
    </i>
    <i>
      <x v="35"/>
    </i>
    <i t="grand">
      <x/>
    </i>
  </rowItems>
  <colFields count="1">
    <field x="-2"/>
  </colFields>
  <colItems count="2">
    <i>
      <x/>
    </i>
    <i i="1">
      <x v="1"/>
    </i>
  </colItems>
  <dataFields count="2">
    <dataField name="Sum of Total Cases" fld="4" baseField="0" baseItem="0"/>
    <dataField name="Sum of Population" fld="13" baseField="0" baseItem="0"/>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B14612-1382-4ECA-87B6-B004AF48FC5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4:AE15" firstHeaderRow="0" firstDataRow="1" firstDataCol="1"/>
  <pivotFields count="14">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s>
  <rowFields count="1">
    <field x="0"/>
  </rowFields>
  <rowItems count="11">
    <i>
      <x v="3"/>
    </i>
    <i>
      <x v="12"/>
    </i>
    <i>
      <x v="13"/>
    </i>
    <i>
      <x v="16"/>
    </i>
    <i>
      <x v="17"/>
    </i>
    <i>
      <x v="21"/>
    </i>
    <i>
      <x v="23"/>
    </i>
    <i>
      <x v="24"/>
    </i>
    <i>
      <x v="31"/>
    </i>
    <i>
      <x v="35"/>
    </i>
    <i t="grand">
      <x/>
    </i>
  </rowItems>
  <colFields count="1">
    <field x="-2"/>
  </colFields>
  <colItems count="3">
    <i>
      <x/>
    </i>
    <i i="1">
      <x v="1"/>
    </i>
    <i i="2">
      <x v="2"/>
    </i>
  </colItems>
  <dataFields count="3">
    <dataField name="Average of Death Ratio" fld="11" subtotal="average" baseField="0" baseItem="0" numFmtId="2"/>
    <dataField name="Average of Discharge Ratio" fld="9" subtotal="average" baseField="0" baseItem="0" numFmtId="2"/>
    <dataField name="Average of Active Ratio" fld="8" subtotal="average" baseField="0" baseItem="0" numFmtId="2"/>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D0F4AF-1979-4E80-90B5-2C0002FD26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4:Z15" firstHeaderRow="0" firstDataRow="1" firstDataCol="1"/>
  <pivotFields count="14">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measureFilter="1"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0"/>
  </rowFields>
  <rowItems count="11">
    <i>
      <x v="6"/>
    </i>
    <i>
      <x v="25"/>
    </i>
    <i>
      <x v="8"/>
    </i>
    <i>
      <x v="35"/>
    </i>
    <i>
      <x v="33"/>
    </i>
    <i>
      <x v="1"/>
    </i>
    <i>
      <x v="30"/>
    </i>
    <i>
      <x v="15"/>
    </i>
    <i>
      <x v="16"/>
    </i>
    <i>
      <x v="20"/>
    </i>
    <i t="grand">
      <x/>
    </i>
  </rowItems>
  <colFields count="1">
    <field x="-2"/>
  </colFields>
  <colItems count="4">
    <i>
      <x/>
    </i>
    <i i="1">
      <x v="1"/>
    </i>
    <i i="2">
      <x v="2"/>
    </i>
    <i i="3">
      <x v="3"/>
    </i>
  </colItems>
  <dataFields count="4">
    <dataField name="Sum of Total Cases" fld="4" baseField="0" baseItem="0"/>
    <dataField name="Sum of Discharged" fld="6" baseField="0" baseItem="0"/>
    <dataField name="Sum of Deaths" fld="7" baseField="0" baseItem="0"/>
    <dataField name="Sum of Active" fld="5" baseField="0" baseItem="0"/>
  </dataField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4FC237-67D2-4740-8A7B-B66026ACF5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4:G9" firstHeaderRow="1" firstDataRow="1" firstDataCol="1"/>
  <pivotFields count="14">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sd="0" x="1"/>
        <item sd="0" x="2"/>
        <item sd="0" x="0"/>
        <item sd="0"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2">
    <field x="1"/>
    <field x="0"/>
  </rowFields>
  <rowItems count="5">
    <i>
      <x/>
    </i>
    <i>
      <x v="1"/>
    </i>
    <i>
      <x v="2"/>
    </i>
    <i>
      <x v="3"/>
    </i>
    <i t="grand">
      <x/>
    </i>
  </rowItems>
  <colItems count="1">
    <i/>
  </colItems>
  <dataFields count="1">
    <dataField name="Sum of Deaths" fld="7"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613697-487F-4027-9D43-877B90A272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G4:AI41" firstHeaderRow="0" firstDataRow="1" firstDataCol="1"/>
  <pivotFields count="14">
    <pivotField axis="axisRow" multipleItemSelectionAllowed="1"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Sum of cases 2019" fld="2" baseField="0" baseItem="0"/>
    <dataField name="Sum of cases 2020" fld="3"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97276-9E21-44D2-A250-531F1F7AF6A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9" firstHeaderRow="1" firstDataRow="1" firstDataCol="1"/>
  <pivotFields count="14">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Activ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1A3729-724D-42C9-83FC-46CC5CB6FC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4:T9" firstHeaderRow="0" firstDataRow="1" firstDataCol="1"/>
  <pivotFields count="14">
    <pivotField showAll="0"/>
    <pivotField axis="axisRow" showAll="0">
      <items count="5">
        <item x="1"/>
        <item x="2"/>
        <item x="0"/>
        <item x="3"/>
        <item t="default"/>
      </items>
    </pivotField>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4">
    <i>
      <x/>
    </i>
    <i i="1">
      <x v="1"/>
    </i>
    <i i="2">
      <x v="2"/>
    </i>
    <i i="3">
      <x v="3"/>
    </i>
  </colItems>
  <dataFields count="4">
    <dataField name="Total Cases" fld="4" baseField="0" baseItem="0"/>
    <dataField name="Active" fld="5" baseField="0" baseItem="0"/>
    <dataField name="Discharged" fld="6" baseField="0" baseItem="0"/>
    <dataField name=" Deaths" fld="7" baseField="0" baseItem="0"/>
  </dataField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8EC2D7-757C-46A7-8DB3-02C3C134AC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N41" firstHeaderRow="0" firstDataRow="1" firstDataCol="1"/>
  <pivotFields count="14">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Sum of Population" fld="13" baseField="0" baseItem="0"/>
    <dataField name="Sum of Active Ratio"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077979CB-5A52-41DE-83A0-4DA29332301D}" sourceName="Zone">
  <pivotTables>
    <pivotTable tabId="2" name="PivotTable7"/>
    <pivotTable tabId="2" name="PivotTable8"/>
    <pivotTable tabId="2" name="PivotTable3"/>
    <pivotTable tabId="2" name="PivotTable10"/>
  </pivotTables>
  <data>
    <tabular pivotCacheId="1887441662">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43F0EA2C-B91A-4AEF-A072-5190175B7C8F}" cache="Slicer_Zone" caption="Zone"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BBDC33-767E-4D9E-A43D-E55A81872818}" name="Table2" displayName="Table2" ref="A1:N37" totalsRowShown="0" headerRowDxfId="16" dataDxfId="15" tableBorderDxfId="14">
  <autoFilter ref="A1:N37" xr:uid="{8ABBDC33-767E-4D9E-A43D-E55A81872818}"/>
  <tableColumns count="14">
    <tableColumn id="1" xr3:uid="{4D11E564-C152-40BE-9717-4C2C96BB4C94}" name="State/UTs" dataDxfId="13"/>
    <tableColumn id="2" xr3:uid="{C1255319-8B1C-4A38-B146-32C4B970F433}" name="Zone" dataDxfId="12"/>
    <tableColumn id="3" xr3:uid="{EFFAC89E-BBB7-4A3C-9A53-11B7C476C8D5}" name="cases 2019" dataDxfId="11"/>
    <tableColumn id="4" xr3:uid="{D7382A42-F666-48E2-872A-143065D0ADEE}" name="cases 2020" dataDxfId="10"/>
    <tableColumn id="5" xr3:uid="{373F4067-AE05-4432-B6BF-E77D428B44C4}" name="Total Cases" dataDxfId="9"/>
    <tableColumn id="6" xr3:uid="{990E4927-B5C1-4EDC-A29B-9BABF2E14065}" name="Active" dataDxfId="8"/>
    <tableColumn id="7" xr3:uid="{1F38432C-6167-4236-A56B-CF7D3EB971B0}" name="Discharged" dataDxfId="7"/>
    <tableColumn id="8" xr3:uid="{437859EE-0CE8-4EBD-9D82-611A1FB66EFA}" name="Deaths" dataDxfId="6"/>
    <tableColumn id="9" xr3:uid="{E2663973-4C82-4045-9D4D-A622A17B9BFD}" name="Active Ratio" dataDxfId="5"/>
    <tableColumn id="10" xr3:uid="{D6015E5A-72F4-4DE3-8967-97A924E45E83}" name="Discharge Ratio" dataDxfId="4"/>
    <tableColumn id="11" xr3:uid="{E577F04C-0187-45AB-858C-D7CFB5B0A930}" name="Discharge Avg" dataDxfId="3"/>
    <tableColumn id="12" xr3:uid="{832DB075-00AC-44C0-97FE-4FD203C713D1}" name="Death Ratio" dataDxfId="2"/>
    <tableColumn id="13" xr3:uid="{77ADDBEC-85D7-41CA-AC8E-C1E5B5CF3566}" name="Death Avg" dataDxfId="1"/>
    <tableColumn id="14" xr3:uid="{CC4A78DF-C539-46EA-B671-9786BE0CA04F}" name="Popul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EF24-CA43-49D6-83B0-3C3B8BDF723F}">
  <dimension ref="A1:V38"/>
  <sheetViews>
    <sheetView zoomScale="72" workbookViewId="0">
      <selection activeCell="E19" sqref="E19"/>
    </sheetView>
  </sheetViews>
  <sheetFormatPr defaultRowHeight="14.4" x14ac:dyDescent="0.3"/>
  <cols>
    <col min="1" max="1" width="19" bestFit="1" customWidth="1"/>
    <col min="2" max="2" width="8.109375" customWidth="1"/>
    <col min="3" max="3" width="15.6640625" customWidth="1"/>
    <col min="4" max="4" width="15.88671875" customWidth="1"/>
    <col min="5" max="5" width="15.109375" customWidth="1"/>
    <col min="6" max="6" width="9.44140625" customWidth="1"/>
    <col min="7" max="7" width="15" customWidth="1"/>
    <col min="8" max="8" width="10.44140625" customWidth="1"/>
    <col min="9" max="9" width="15.33203125" customWidth="1"/>
    <col min="10" max="10" width="19.5546875" customWidth="1"/>
    <col min="11" max="11" width="17.88671875" customWidth="1"/>
    <col min="12" max="12" width="15.109375" customWidth="1"/>
    <col min="13" max="13" width="13.44140625" customWidth="1"/>
    <col min="14" max="14" width="14.33203125" customWidth="1"/>
  </cols>
  <sheetData>
    <row r="1" spans="1:22" ht="18" x14ac:dyDescent="0.35">
      <c r="A1" s="9" t="s">
        <v>53</v>
      </c>
      <c r="B1" s="9" t="s">
        <v>52</v>
      </c>
      <c r="C1" s="9" t="s">
        <v>56</v>
      </c>
      <c r="D1" s="9" t="s">
        <v>57</v>
      </c>
      <c r="E1" s="9" t="s">
        <v>51</v>
      </c>
      <c r="F1" s="9" t="s">
        <v>50</v>
      </c>
      <c r="G1" s="9" t="s">
        <v>49</v>
      </c>
      <c r="H1" s="9" t="s">
        <v>48</v>
      </c>
      <c r="I1" s="9" t="s">
        <v>47</v>
      </c>
      <c r="J1" s="9" t="s">
        <v>46</v>
      </c>
      <c r="K1" s="9" t="s">
        <v>45</v>
      </c>
      <c r="L1" s="9" t="s">
        <v>44</v>
      </c>
      <c r="M1" s="9" t="s">
        <v>43</v>
      </c>
      <c r="N1" s="9" t="s">
        <v>42</v>
      </c>
    </row>
    <row r="2" spans="1:22" x14ac:dyDescent="0.3">
      <c r="A2" s="4" t="s">
        <v>41</v>
      </c>
      <c r="B2" s="4" t="s">
        <v>8</v>
      </c>
      <c r="C2" s="8">
        <v>2301</v>
      </c>
      <c r="D2" s="8">
        <v>5369</v>
      </c>
      <c r="E2" s="4">
        <v>7670</v>
      </c>
      <c r="F2" s="4">
        <v>7</v>
      </c>
      <c r="G2" s="4">
        <v>7534</v>
      </c>
      <c r="H2" s="4">
        <v>129</v>
      </c>
      <c r="I2" s="4">
        <v>0.09</v>
      </c>
      <c r="J2" s="4">
        <v>98.23</v>
      </c>
      <c r="K2" s="4" t="s">
        <v>0</v>
      </c>
      <c r="L2" s="4">
        <v>1.68</v>
      </c>
      <c r="M2" s="4" t="s">
        <v>3</v>
      </c>
      <c r="N2" s="4">
        <v>399001</v>
      </c>
      <c r="T2" s="6">
        <f>SUM(Table2[cases 2019])</f>
        <v>10331193</v>
      </c>
      <c r="U2" s="6">
        <f>SUM(Table2[cases 2020])</f>
        <v>24106114</v>
      </c>
      <c r="V2" s="6">
        <f>SUM(Table2[Total Cases])</f>
        <v>34437307</v>
      </c>
    </row>
    <row r="3" spans="1:22" x14ac:dyDescent="0.3">
      <c r="A3" s="5" t="s">
        <v>40</v>
      </c>
      <c r="B3" s="5" t="s">
        <v>8</v>
      </c>
      <c r="C3" s="8">
        <v>620931</v>
      </c>
      <c r="D3" s="8">
        <v>1448839</v>
      </c>
      <c r="E3" s="5">
        <v>2069770</v>
      </c>
      <c r="F3" s="5">
        <v>3128</v>
      </c>
      <c r="G3" s="5">
        <v>2052230</v>
      </c>
      <c r="H3" s="5">
        <v>14412</v>
      </c>
      <c r="I3" s="5">
        <v>0.15</v>
      </c>
      <c r="J3" s="5">
        <v>99.15</v>
      </c>
      <c r="K3" s="5" t="s">
        <v>3</v>
      </c>
      <c r="L3" s="5">
        <v>0.7</v>
      </c>
      <c r="M3" s="5" t="s">
        <v>0</v>
      </c>
      <c r="N3" s="5">
        <v>91702478</v>
      </c>
      <c r="T3" s="7"/>
      <c r="U3" s="7"/>
      <c r="V3" s="7"/>
    </row>
    <row r="4" spans="1:22" x14ac:dyDescent="0.3">
      <c r="A4" s="4" t="s">
        <v>39</v>
      </c>
      <c r="B4" s="4" t="s">
        <v>1</v>
      </c>
      <c r="C4" s="8">
        <v>16565</v>
      </c>
      <c r="D4" s="8">
        <v>38651</v>
      </c>
      <c r="E4" s="4">
        <v>55216</v>
      </c>
      <c r="F4" s="4">
        <v>42</v>
      </c>
      <c r="G4" s="4">
        <v>54894</v>
      </c>
      <c r="H4" s="4">
        <v>280</v>
      </c>
      <c r="I4" s="4">
        <v>0.08</v>
      </c>
      <c r="J4" s="4">
        <v>99.42</v>
      </c>
      <c r="K4" s="4" t="s">
        <v>3</v>
      </c>
      <c r="L4" s="4">
        <v>0.51</v>
      </c>
      <c r="M4" s="4" t="s">
        <v>0</v>
      </c>
      <c r="N4" s="4">
        <v>1711947</v>
      </c>
      <c r="T4" s="7"/>
      <c r="U4" s="7"/>
      <c r="V4" s="7"/>
    </row>
    <row r="5" spans="1:22" x14ac:dyDescent="0.3">
      <c r="A5" s="5" t="s">
        <v>38</v>
      </c>
      <c r="B5" s="5" t="s">
        <v>1</v>
      </c>
      <c r="C5" s="8">
        <v>184135</v>
      </c>
      <c r="D5" s="8">
        <v>429649</v>
      </c>
      <c r="E5" s="5">
        <v>613784</v>
      </c>
      <c r="F5" s="5">
        <v>3272</v>
      </c>
      <c r="G5" s="5">
        <v>604465</v>
      </c>
      <c r="H5" s="5">
        <v>6047</v>
      </c>
      <c r="I5" s="5">
        <v>0.53</v>
      </c>
      <c r="J5" s="5">
        <v>98.48</v>
      </c>
      <c r="K5" s="5" t="s">
        <v>3</v>
      </c>
      <c r="L5" s="5">
        <v>0.99</v>
      </c>
      <c r="M5" s="5" t="s">
        <v>0</v>
      </c>
      <c r="N5" s="5">
        <v>35998752</v>
      </c>
      <c r="T5" s="7"/>
      <c r="U5" s="7"/>
      <c r="V5" s="7"/>
    </row>
    <row r="6" spans="1:22" x14ac:dyDescent="0.3">
      <c r="A6" s="4" t="s">
        <v>37</v>
      </c>
      <c r="B6" s="4" t="s">
        <v>1</v>
      </c>
      <c r="C6" s="8">
        <v>217846</v>
      </c>
      <c r="D6" s="8">
        <v>508307</v>
      </c>
      <c r="E6" s="4">
        <v>726153</v>
      </c>
      <c r="F6" s="4">
        <v>29</v>
      </c>
      <c r="G6" s="4">
        <v>716462</v>
      </c>
      <c r="H6" s="4">
        <v>9662</v>
      </c>
      <c r="I6" s="4">
        <v>0</v>
      </c>
      <c r="J6" s="4">
        <v>98.67</v>
      </c>
      <c r="K6" s="4" t="s">
        <v>3</v>
      </c>
      <c r="L6" s="4">
        <v>1.33</v>
      </c>
      <c r="M6" s="4" t="s">
        <v>3</v>
      </c>
      <c r="N6" s="4">
        <v>128500364</v>
      </c>
      <c r="T6" s="7"/>
      <c r="U6" s="7"/>
      <c r="V6" s="7"/>
    </row>
    <row r="7" spans="1:22" x14ac:dyDescent="0.3">
      <c r="A7" s="5" t="s">
        <v>36</v>
      </c>
      <c r="B7" s="5" t="s">
        <v>4</v>
      </c>
      <c r="C7" s="8">
        <v>19614</v>
      </c>
      <c r="D7" s="8">
        <v>45766</v>
      </c>
      <c r="E7" s="5">
        <v>65380</v>
      </c>
      <c r="F7" s="5">
        <v>24</v>
      </c>
      <c r="G7" s="5">
        <v>64536</v>
      </c>
      <c r="H7" s="5">
        <v>820</v>
      </c>
      <c r="I7" s="5">
        <v>0.04</v>
      </c>
      <c r="J7" s="5">
        <v>98.71</v>
      </c>
      <c r="K7" s="5" t="s">
        <v>3</v>
      </c>
      <c r="L7" s="5">
        <v>1.25</v>
      </c>
      <c r="M7" s="5" t="s">
        <v>0</v>
      </c>
      <c r="N7" s="5">
        <v>1158040</v>
      </c>
      <c r="T7" s="7"/>
      <c r="U7" s="7"/>
      <c r="V7" s="7"/>
    </row>
    <row r="8" spans="1:22" x14ac:dyDescent="0.3">
      <c r="A8" s="4" t="s">
        <v>35</v>
      </c>
      <c r="B8" s="4" t="s">
        <v>1</v>
      </c>
      <c r="C8" s="8">
        <v>301898</v>
      </c>
      <c r="D8" s="8">
        <v>704428</v>
      </c>
      <c r="E8" s="4">
        <v>1006326</v>
      </c>
      <c r="F8" s="4">
        <v>230</v>
      </c>
      <c r="G8" s="4">
        <v>992508</v>
      </c>
      <c r="H8" s="4">
        <v>13588</v>
      </c>
      <c r="I8" s="4">
        <v>0.02</v>
      </c>
      <c r="J8" s="4">
        <v>98.63</v>
      </c>
      <c r="K8" s="4" t="s">
        <v>3</v>
      </c>
      <c r="L8" s="4">
        <v>1.35</v>
      </c>
      <c r="M8" s="4" t="s">
        <v>3</v>
      </c>
      <c r="N8" s="4">
        <v>32199722</v>
      </c>
      <c r="T8" s="7"/>
      <c r="U8" s="7"/>
      <c r="V8" s="7"/>
    </row>
    <row r="9" spans="1:22" x14ac:dyDescent="0.3">
      <c r="A9" s="5" t="s">
        <v>34</v>
      </c>
      <c r="B9" s="5" t="s">
        <v>12</v>
      </c>
      <c r="C9" s="8">
        <v>3205</v>
      </c>
      <c r="D9" s="8">
        <v>7477</v>
      </c>
      <c r="E9" s="5">
        <v>10682</v>
      </c>
      <c r="F9" s="5">
        <v>0</v>
      </c>
      <c r="G9" s="5">
        <v>10678</v>
      </c>
      <c r="H9" s="5">
        <v>4</v>
      </c>
      <c r="I9" s="5">
        <v>0</v>
      </c>
      <c r="J9" s="5">
        <v>99.96</v>
      </c>
      <c r="K9" s="5" t="s">
        <v>3</v>
      </c>
      <c r="L9" s="5">
        <v>0.04</v>
      </c>
      <c r="M9" s="5" t="s">
        <v>0</v>
      </c>
      <c r="N9" s="5">
        <v>773997</v>
      </c>
      <c r="T9" s="7"/>
      <c r="U9" s="7"/>
      <c r="V9" s="7"/>
    </row>
    <row r="10" spans="1:22" x14ac:dyDescent="0.3">
      <c r="A10" s="4" t="s">
        <v>33</v>
      </c>
      <c r="B10" s="4" t="s">
        <v>4</v>
      </c>
      <c r="C10" s="8">
        <v>432116</v>
      </c>
      <c r="D10" s="8">
        <v>1008272</v>
      </c>
      <c r="E10" s="4">
        <v>1440388</v>
      </c>
      <c r="F10" s="4">
        <v>361</v>
      </c>
      <c r="G10" s="4">
        <v>1414934</v>
      </c>
      <c r="H10" s="4">
        <v>25093</v>
      </c>
      <c r="I10" s="4">
        <v>0.03</v>
      </c>
      <c r="J10" s="4">
        <v>98.23</v>
      </c>
      <c r="K10" s="4" t="s">
        <v>0</v>
      </c>
      <c r="L10" s="4">
        <v>1.74</v>
      </c>
      <c r="M10" s="4" t="s">
        <v>3</v>
      </c>
      <c r="N10" s="4">
        <v>19301096</v>
      </c>
      <c r="T10" s="7"/>
      <c r="U10" s="7"/>
      <c r="V10" s="7"/>
    </row>
    <row r="11" spans="1:22" x14ac:dyDescent="0.3">
      <c r="A11" s="5" t="s">
        <v>32</v>
      </c>
      <c r="B11" s="5" t="s">
        <v>12</v>
      </c>
      <c r="C11" s="8">
        <v>53540</v>
      </c>
      <c r="D11" s="8">
        <v>124927</v>
      </c>
      <c r="E11" s="5">
        <v>178467</v>
      </c>
      <c r="F11" s="5">
        <v>263</v>
      </c>
      <c r="G11" s="5">
        <v>174830</v>
      </c>
      <c r="H11" s="5">
        <v>3374</v>
      </c>
      <c r="I11" s="5">
        <v>0.15</v>
      </c>
      <c r="J11" s="5">
        <v>97.96</v>
      </c>
      <c r="K11" s="5" t="s">
        <v>0</v>
      </c>
      <c r="L11" s="5">
        <v>1.89</v>
      </c>
      <c r="M11" s="5" t="s">
        <v>3</v>
      </c>
      <c r="N11" s="5">
        <v>1521992</v>
      </c>
      <c r="T11" s="7"/>
      <c r="U11" s="7"/>
      <c r="V11" s="7"/>
    </row>
    <row r="12" spans="1:22" x14ac:dyDescent="0.3">
      <c r="A12" s="4" t="s">
        <v>31</v>
      </c>
      <c r="B12" s="4" t="s">
        <v>12</v>
      </c>
      <c r="C12" s="8">
        <v>248077</v>
      </c>
      <c r="D12" s="8">
        <v>578847</v>
      </c>
      <c r="E12" s="4">
        <v>826924</v>
      </c>
      <c r="F12" s="4">
        <v>226</v>
      </c>
      <c r="G12" s="4">
        <v>816608</v>
      </c>
      <c r="H12" s="4">
        <v>10090</v>
      </c>
      <c r="I12" s="4">
        <v>0.03</v>
      </c>
      <c r="J12" s="4">
        <v>98.75</v>
      </c>
      <c r="K12" s="4" t="s">
        <v>3</v>
      </c>
      <c r="L12" s="4">
        <v>1.22</v>
      </c>
      <c r="M12" s="4" t="s">
        <v>0</v>
      </c>
      <c r="N12" s="4">
        <v>70400153</v>
      </c>
      <c r="T12" s="7"/>
      <c r="U12" s="7"/>
      <c r="V12" s="7"/>
    </row>
    <row r="13" spans="1:22" x14ac:dyDescent="0.3">
      <c r="A13" s="5" t="s">
        <v>30</v>
      </c>
      <c r="B13" s="5" t="s">
        <v>4</v>
      </c>
      <c r="C13" s="8">
        <v>231426</v>
      </c>
      <c r="D13" s="8">
        <v>539994</v>
      </c>
      <c r="E13" s="5">
        <v>771420</v>
      </c>
      <c r="F13" s="5">
        <v>140</v>
      </c>
      <c r="G13" s="5">
        <v>761230</v>
      </c>
      <c r="H13" s="5">
        <v>10050</v>
      </c>
      <c r="I13" s="5">
        <v>0.02</v>
      </c>
      <c r="J13" s="5">
        <v>98.68</v>
      </c>
      <c r="K13" s="5" t="s">
        <v>3</v>
      </c>
      <c r="L13" s="5">
        <v>1.3</v>
      </c>
      <c r="M13" s="5" t="s">
        <v>3</v>
      </c>
      <c r="N13" s="5">
        <v>28900667</v>
      </c>
      <c r="T13" s="7"/>
      <c r="U13" s="7"/>
      <c r="V13" s="7"/>
    </row>
    <row r="14" spans="1:22" x14ac:dyDescent="0.3">
      <c r="A14" s="4" t="s">
        <v>29</v>
      </c>
      <c r="B14" s="4" t="s">
        <v>4</v>
      </c>
      <c r="C14" s="8">
        <v>67714</v>
      </c>
      <c r="D14" s="8">
        <v>157998</v>
      </c>
      <c r="E14" s="4">
        <v>225712</v>
      </c>
      <c r="F14" s="4">
        <v>1100</v>
      </c>
      <c r="G14" s="4">
        <v>220800</v>
      </c>
      <c r="H14" s="4">
        <v>3812</v>
      </c>
      <c r="I14" s="4">
        <v>0.49</v>
      </c>
      <c r="J14" s="4">
        <v>97.82</v>
      </c>
      <c r="K14" s="4" t="s">
        <v>0</v>
      </c>
      <c r="L14" s="4">
        <v>1.69</v>
      </c>
      <c r="M14" s="4" t="s">
        <v>3</v>
      </c>
      <c r="N14" s="4">
        <v>7503010</v>
      </c>
      <c r="T14" s="7"/>
      <c r="U14" s="7"/>
      <c r="V14" s="7"/>
    </row>
    <row r="15" spans="1:22" x14ac:dyDescent="0.3">
      <c r="A15" s="5" t="s">
        <v>28</v>
      </c>
      <c r="B15" s="5" t="s">
        <v>4</v>
      </c>
      <c r="C15" s="8">
        <v>100202</v>
      </c>
      <c r="D15" s="8">
        <v>233804</v>
      </c>
      <c r="E15" s="5">
        <v>334006</v>
      </c>
      <c r="F15" s="5">
        <v>1450</v>
      </c>
      <c r="G15" s="5">
        <v>328108</v>
      </c>
      <c r="H15" s="5">
        <v>4448</v>
      </c>
      <c r="I15" s="5">
        <v>0.43</v>
      </c>
      <c r="J15" s="5">
        <v>98.23</v>
      </c>
      <c r="K15" s="5" t="s">
        <v>0</v>
      </c>
      <c r="L15" s="5">
        <v>1.33</v>
      </c>
      <c r="M15" s="5" t="s">
        <v>3</v>
      </c>
      <c r="N15" s="5">
        <v>14999397</v>
      </c>
      <c r="T15" s="7"/>
      <c r="U15" s="7"/>
      <c r="V15" s="7"/>
    </row>
    <row r="16" spans="1:22" x14ac:dyDescent="0.3">
      <c r="A16" s="4" t="s">
        <v>27</v>
      </c>
      <c r="B16" s="4" t="s">
        <v>1</v>
      </c>
      <c r="C16" s="8">
        <v>104698</v>
      </c>
      <c r="D16" s="8">
        <v>244294</v>
      </c>
      <c r="E16" s="4">
        <v>348992</v>
      </c>
      <c r="F16" s="4">
        <v>141</v>
      </c>
      <c r="G16" s="4">
        <v>343713</v>
      </c>
      <c r="H16" s="4">
        <v>5138</v>
      </c>
      <c r="I16" s="4">
        <v>0.04</v>
      </c>
      <c r="J16" s="4">
        <v>98.49</v>
      </c>
      <c r="K16" s="4" t="s">
        <v>3</v>
      </c>
      <c r="L16" s="4">
        <v>1.47</v>
      </c>
      <c r="M16" s="4" t="s">
        <v>3</v>
      </c>
      <c r="N16" s="4">
        <v>40100376</v>
      </c>
      <c r="T16" s="7"/>
      <c r="U16" s="7"/>
      <c r="V16" s="7"/>
    </row>
    <row r="17" spans="1:22" x14ac:dyDescent="0.3">
      <c r="A17" s="5" t="s">
        <v>26</v>
      </c>
      <c r="B17" s="5" t="s">
        <v>8</v>
      </c>
      <c r="C17" s="8">
        <v>897484</v>
      </c>
      <c r="D17" s="8">
        <v>2094130</v>
      </c>
      <c r="E17" s="5">
        <v>2991614</v>
      </c>
      <c r="F17" s="5">
        <v>8056</v>
      </c>
      <c r="G17" s="5">
        <v>2945415</v>
      </c>
      <c r="H17" s="5">
        <v>38143</v>
      </c>
      <c r="I17" s="5">
        <v>0.27</v>
      </c>
      <c r="J17" s="5">
        <v>98.46</v>
      </c>
      <c r="K17" s="5" t="s">
        <v>3</v>
      </c>
      <c r="L17" s="5">
        <v>1.27</v>
      </c>
      <c r="M17" s="5" t="s">
        <v>0</v>
      </c>
      <c r="N17" s="5">
        <v>69599762</v>
      </c>
      <c r="T17" s="7"/>
      <c r="U17" s="7"/>
      <c r="V17" s="7"/>
    </row>
    <row r="18" spans="1:22" x14ac:dyDescent="0.3">
      <c r="A18" s="4" t="s">
        <v>25</v>
      </c>
      <c r="B18" s="4" t="s">
        <v>8</v>
      </c>
      <c r="C18" s="8">
        <v>1516567</v>
      </c>
      <c r="D18" s="8">
        <v>3538657</v>
      </c>
      <c r="E18" s="4">
        <v>5055224</v>
      </c>
      <c r="F18" s="4">
        <v>69258</v>
      </c>
      <c r="G18" s="4">
        <v>4950281</v>
      </c>
      <c r="H18" s="4">
        <v>35685</v>
      </c>
      <c r="I18" s="4">
        <v>1.37</v>
      </c>
      <c r="J18" s="4">
        <v>97.92</v>
      </c>
      <c r="K18" s="4" t="s">
        <v>0</v>
      </c>
      <c r="L18" s="4">
        <v>0.71</v>
      </c>
      <c r="M18" s="4" t="s">
        <v>0</v>
      </c>
      <c r="N18" s="4">
        <v>34698876</v>
      </c>
      <c r="T18" s="7"/>
      <c r="U18" s="7"/>
      <c r="V18" s="7"/>
    </row>
    <row r="19" spans="1:22" x14ac:dyDescent="0.3">
      <c r="A19" s="5" t="s">
        <v>24</v>
      </c>
      <c r="B19" s="5" t="s">
        <v>4</v>
      </c>
      <c r="C19" s="8">
        <v>6344</v>
      </c>
      <c r="D19" s="8">
        <v>14804</v>
      </c>
      <c r="E19" s="5">
        <v>21148</v>
      </c>
      <c r="F19" s="5">
        <v>154</v>
      </c>
      <c r="G19" s="5">
        <v>20783</v>
      </c>
      <c r="H19" s="5">
        <v>211</v>
      </c>
      <c r="I19" s="5">
        <v>0.73</v>
      </c>
      <c r="J19" s="5">
        <v>98.27</v>
      </c>
      <c r="K19" s="5" t="s">
        <v>0</v>
      </c>
      <c r="L19" s="5">
        <v>1</v>
      </c>
      <c r="M19" s="5" t="s">
        <v>0</v>
      </c>
      <c r="N19" s="5">
        <v>290492</v>
      </c>
      <c r="T19" s="7"/>
      <c r="U19" s="7"/>
      <c r="V19" s="7"/>
    </row>
    <row r="20" spans="1:22" x14ac:dyDescent="0.3">
      <c r="A20" s="4" t="s">
        <v>23</v>
      </c>
      <c r="B20" s="4" t="s">
        <v>8</v>
      </c>
      <c r="C20" s="8">
        <v>3110</v>
      </c>
      <c r="D20" s="8">
        <v>7255</v>
      </c>
      <c r="E20" s="4">
        <v>10365</v>
      </c>
      <c r="F20" s="4">
        <v>0</v>
      </c>
      <c r="G20" s="4">
        <v>10314</v>
      </c>
      <c r="H20" s="4">
        <v>51</v>
      </c>
      <c r="I20" s="4">
        <v>0</v>
      </c>
      <c r="J20" s="4">
        <v>99.51</v>
      </c>
      <c r="K20" s="4" t="s">
        <v>3</v>
      </c>
      <c r="L20" s="4">
        <v>0.49</v>
      </c>
      <c r="M20" s="4" t="s">
        <v>0</v>
      </c>
      <c r="N20" s="4">
        <v>66001</v>
      </c>
      <c r="T20" s="7"/>
      <c r="U20" s="7"/>
      <c r="V20" s="7"/>
    </row>
    <row r="21" spans="1:22" x14ac:dyDescent="0.3">
      <c r="A21" s="5" t="s">
        <v>22</v>
      </c>
      <c r="B21" s="5" t="s">
        <v>12</v>
      </c>
      <c r="C21" s="8">
        <v>237887</v>
      </c>
      <c r="D21" s="8">
        <v>555069</v>
      </c>
      <c r="E21" s="5">
        <v>792956</v>
      </c>
      <c r="F21" s="5">
        <v>75</v>
      </c>
      <c r="G21" s="5">
        <v>782357</v>
      </c>
      <c r="H21" s="5">
        <v>10524</v>
      </c>
      <c r="I21" s="5">
        <v>0.01</v>
      </c>
      <c r="J21" s="5">
        <v>98.66</v>
      </c>
      <c r="K21" s="5" t="s">
        <v>3</v>
      </c>
      <c r="L21" s="5">
        <v>1.33</v>
      </c>
      <c r="M21" s="5" t="s">
        <v>3</v>
      </c>
      <c r="N21" s="5">
        <v>85002417</v>
      </c>
      <c r="T21" s="7"/>
      <c r="U21" s="7"/>
      <c r="V21" s="7"/>
    </row>
    <row r="22" spans="1:22" x14ac:dyDescent="0.3">
      <c r="A22" s="4" t="s">
        <v>21</v>
      </c>
      <c r="B22" s="4" t="s">
        <v>12</v>
      </c>
      <c r="C22" s="8">
        <v>1987003</v>
      </c>
      <c r="D22" s="8">
        <v>4636341</v>
      </c>
      <c r="E22" s="4">
        <v>6623344</v>
      </c>
      <c r="F22" s="4">
        <v>15866</v>
      </c>
      <c r="G22" s="4">
        <v>6466913</v>
      </c>
      <c r="H22" s="4">
        <v>140565</v>
      </c>
      <c r="I22" s="4">
        <v>0.24</v>
      </c>
      <c r="J22" s="4">
        <v>97.64</v>
      </c>
      <c r="K22" s="4" t="s">
        <v>0</v>
      </c>
      <c r="L22" s="4">
        <v>2.12</v>
      </c>
      <c r="M22" s="4" t="s">
        <v>3</v>
      </c>
      <c r="N22" s="4">
        <v>124904071</v>
      </c>
      <c r="T22" s="7"/>
      <c r="U22" s="7"/>
      <c r="V22" s="7"/>
    </row>
    <row r="23" spans="1:22" x14ac:dyDescent="0.3">
      <c r="A23" s="5" t="s">
        <v>20</v>
      </c>
      <c r="B23" s="5" t="s">
        <v>1</v>
      </c>
      <c r="C23" s="8">
        <v>37330</v>
      </c>
      <c r="D23" s="8">
        <v>87102</v>
      </c>
      <c r="E23" s="5">
        <v>124432</v>
      </c>
      <c r="F23" s="5">
        <v>799</v>
      </c>
      <c r="G23" s="5">
        <v>121687</v>
      </c>
      <c r="H23" s="5">
        <v>1946</v>
      </c>
      <c r="I23" s="5">
        <v>0.64</v>
      </c>
      <c r="J23" s="5">
        <v>97.79</v>
      </c>
      <c r="K23" s="5" t="s">
        <v>0</v>
      </c>
      <c r="L23" s="5">
        <v>1.56</v>
      </c>
      <c r="M23" s="5" t="s">
        <v>3</v>
      </c>
      <c r="N23" s="5">
        <v>3436948</v>
      </c>
      <c r="T23" s="7"/>
      <c r="U23" s="7"/>
      <c r="V23" s="7"/>
    </row>
    <row r="24" spans="1:22" x14ac:dyDescent="0.3">
      <c r="A24" s="4" t="s">
        <v>19</v>
      </c>
      <c r="B24" s="4" t="s">
        <v>1</v>
      </c>
      <c r="C24" s="8">
        <v>25204</v>
      </c>
      <c r="D24" s="8">
        <v>58809</v>
      </c>
      <c r="E24" s="4">
        <v>84013</v>
      </c>
      <c r="F24" s="4">
        <v>277</v>
      </c>
      <c r="G24" s="4">
        <v>82274</v>
      </c>
      <c r="H24" s="4">
        <v>1462</v>
      </c>
      <c r="I24" s="4">
        <v>0.33</v>
      </c>
      <c r="J24" s="4">
        <v>97.93</v>
      </c>
      <c r="K24" s="4" t="s">
        <v>0</v>
      </c>
      <c r="L24" s="4">
        <v>1.74</v>
      </c>
      <c r="M24" s="4" t="s">
        <v>3</v>
      </c>
      <c r="N24" s="4">
        <v>3772103</v>
      </c>
      <c r="T24" s="7"/>
      <c r="U24" s="7"/>
      <c r="V24" s="7"/>
    </row>
    <row r="25" spans="1:22" x14ac:dyDescent="0.3">
      <c r="A25" s="5" t="s">
        <v>18</v>
      </c>
      <c r="B25" s="5" t="s">
        <v>1</v>
      </c>
      <c r="C25" s="8">
        <v>38581</v>
      </c>
      <c r="D25" s="8">
        <v>90023</v>
      </c>
      <c r="E25" s="5">
        <v>128604</v>
      </c>
      <c r="F25" s="5">
        <v>5651</v>
      </c>
      <c r="G25" s="5">
        <v>122494</v>
      </c>
      <c r="H25" s="5">
        <v>459</v>
      </c>
      <c r="I25" s="5">
        <v>4.3899999999999997</v>
      </c>
      <c r="J25" s="5">
        <v>95.25</v>
      </c>
      <c r="K25" s="5" t="s">
        <v>0</v>
      </c>
      <c r="L25" s="5">
        <v>0.36</v>
      </c>
      <c r="M25" s="5" t="s">
        <v>0</v>
      </c>
      <c r="N25" s="5">
        <v>1308967</v>
      </c>
      <c r="T25" s="7"/>
      <c r="U25" s="7"/>
      <c r="V25" s="7"/>
    </row>
    <row r="26" spans="1:22" x14ac:dyDescent="0.3">
      <c r="A26" s="4" t="s">
        <v>17</v>
      </c>
      <c r="B26" s="4" t="s">
        <v>1</v>
      </c>
      <c r="C26" s="8">
        <v>9593</v>
      </c>
      <c r="D26" s="8">
        <v>22385</v>
      </c>
      <c r="E26" s="4">
        <v>31978</v>
      </c>
      <c r="F26" s="4">
        <v>163</v>
      </c>
      <c r="G26" s="4">
        <v>31123</v>
      </c>
      <c r="H26" s="4">
        <v>692</v>
      </c>
      <c r="I26" s="4">
        <v>0.51</v>
      </c>
      <c r="J26" s="4">
        <v>97.33</v>
      </c>
      <c r="K26" s="4" t="s">
        <v>0</v>
      </c>
      <c r="L26" s="4">
        <v>2.16</v>
      </c>
      <c r="M26" s="4" t="s">
        <v>3</v>
      </c>
      <c r="N26" s="4">
        <v>2073074</v>
      </c>
      <c r="T26" s="7"/>
      <c r="U26" s="7"/>
      <c r="V26" s="7"/>
    </row>
    <row r="27" spans="1:22" x14ac:dyDescent="0.3">
      <c r="A27" s="5" t="s">
        <v>16</v>
      </c>
      <c r="B27" s="5" t="s">
        <v>1</v>
      </c>
      <c r="C27" s="8">
        <v>313563</v>
      </c>
      <c r="D27" s="8">
        <v>731646</v>
      </c>
      <c r="E27" s="5">
        <v>1045209</v>
      </c>
      <c r="F27" s="5">
        <v>2534</v>
      </c>
      <c r="G27" s="5">
        <v>1034300</v>
      </c>
      <c r="H27" s="5">
        <v>8375</v>
      </c>
      <c r="I27" s="5">
        <v>0.24</v>
      </c>
      <c r="J27" s="5">
        <v>98.96</v>
      </c>
      <c r="K27" s="5" t="s">
        <v>3</v>
      </c>
      <c r="L27" s="5">
        <v>0.8</v>
      </c>
      <c r="M27" s="5" t="s">
        <v>0</v>
      </c>
      <c r="N27" s="5">
        <v>47099270</v>
      </c>
      <c r="T27" s="7"/>
      <c r="U27" s="7"/>
      <c r="V27" s="7"/>
    </row>
    <row r="28" spans="1:22" x14ac:dyDescent="0.3">
      <c r="A28" s="4" t="s">
        <v>15</v>
      </c>
      <c r="B28" s="4" t="s">
        <v>8</v>
      </c>
      <c r="C28" s="8">
        <v>38520</v>
      </c>
      <c r="D28" s="8">
        <v>89881</v>
      </c>
      <c r="E28" s="4">
        <v>128401</v>
      </c>
      <c r="F28" s="4">
        <v>275</v>
      </c>
      <c r="G28" s="4">
        <v>126263</v>
      </c>
      <c r="H28" s="4">
        <v>1863</v>
      </c>
      <c r="I28" s="4">
        <v>0.21</v>
      </c>
      <c r="J28" s="4">
        <v>98.33</v>
      </c>
      <c r="K28" s="4" t="s">
        <v>0</v>
      </c>
      <c r="L28" s="4">
        <v>1.45</v>
      </c>
      <c r="M28" s="4" t="s">
        <v>3</v>
      </c>
      <c r="N28" s="4">
        <v>1646050</v>
      </c>
      <c r="T28" s="7"/>
      <c r="U28" s="7"/>
      <c r="V28" s="7"/>
    </row>
    <row r="29" spans="1:22" x14ac:dyDescent="0.3">
      <c r="A29" s="5" t="s">
        <v>14</v>
      </c>
      <c r="B29" s="5" t="s">
        <v>4</v>
      </c>
      <c r="C29" s="8">
        <v>180833</v>
      </c>
      <c r="D29" s="8">
        <v>421945</v>
      </c>
      <c r="E29" s="5">
        <v>602778</v>
      </c>
      <c r="F29" s="5">
        <v>318</v>
      </c>
      <c r="G29" s="5">
        <v>585889</v>
      </c>
      <c r="H29" s="5">
        <v>16571</v>
      </c>
      <c r="I29" s="5">
        <v>0.05</v>
      </c>
      <c r="J29" s="5">
        <v>97.2</v>
      </c>
      <c r="K29" s="5" t="s">
        <v>0</v>
      </c>
      <c r="L29" s="5">
        <v>2.75</v>
      </c>
      <c r="M29" s="5" t="s">
        <v>3</v>
      </c>
      <c r="N29" s="5">
        <v>30501026</v>
      </c>
      <c r="T29" s="7"/>
      <c r="U29" s="7"/>
      <c r="V29" s="7"/>
    </row>
    <row r="30" spans="1:22" x14ac:dyDescent="0.3">
      <c r="A30" s="4" t="s">
        <v>13</v>
      </c>
      <c r="B30" s="4" t="s">
        <v>12</v>
      </c>
      <c r="C30" s="8">
        <v>286351</v>
      </c>
      <c r="D30" s="8">
        <v>668152</v>
      </c>
      <c r="E30" s="4">
        <v>954503</v>
      </c>
      <c r="F30" s="4">
        <v>71</v>
      </c>
      <c r="G30" s="4">
        <v>945478</v>
      </c>
      <c r="H30" s="4">
        <v>8954</v>
      </c>
      <c r="I30" s="4">
        <v>0.01</v>
      </c>
      <c r="J30" s="4">
        <v>99.05</v>
      </c>
      <c r="K30" s="4" t="s">
        <v>3</v>
      </c>
      <c r="L30" s="4">
        <v>0.94</v>
      </c>
      <c r="M30" s="4" t="s">
        <v>0</v>
      </c>
      <c r="N30" s="4">
        <v>79502477</v>
      </c>
      <c r="T30" s="7"/>
      <c r="U30" s="7"/>
      <c r="V30" s="7"/>
    </row>
    <row r="31" spans="1:22" x14ac:dyDescent="0.3">
      <c r="A31" s="5" t="s">
        <v>11</v>
      </c>
      <c r="B31" s="5" t="s">
        <v>1</v>
      </c>
      <c r="C31" s="8">
        <v>9629</v>
      </c>
      <c r="D31" s="8">
        <v>22467</v>
      </c>
      <c r="E31" s="5">
        <v>32096</v>
      </c>
      <c r="F31" s="5">
        <v>121</v>
      </c>
      <c r="G31" s="5">
        <v>31575</v>
      </c>
      <c r="H31" s="5">
        <v>400</v>
      </c>
      <c r="I31" s="5">
        <v>0.38</v>
      </c>
      <c r="J31" s="5">
        <v>98.38</v>
      </c>
      <c r="K31" s="5" t="s">
        <v>3</v>
      </c>
      <c r="L31" s="5">
        <v>1.25</v>
      </c>
      <c r="M31" s="5" t="s">
        <v>0</v>
      </c>
      <c r="N31" s="5">
        <v>658019</v>
      </c>
      <c r="T31" s="7"/>
      <c r="U31" s="7"/>
      <c r="V31" s="7"/>
    </row>
    <row r="32" spans="1:22" x14ac:dyDescent="0.3">
      <c r="A32" s="4" t="s">
        <v>10</v>
      </c>
      <c r="B32" s="4" t="s">
        <v>8</v>
      </c>
      <c r="C32" s="8">
        <v>814208</v>
      </c>
      <c r="D32" s="8">
        <v>1899817</v>
      </c>
      <c r="E32" s="4">
        <v>2714025</v>
      </c>
      <c r="F32" s="4">
        <v>9751</v>
      </c>
      <c r="G32" s="4">
        <v>2668001</v>
      </c>
      <c r="H32" s="4">
        <v>36273</v>
      </c>
      <c r="I32" s="4">
        <v>0.36</v>
      </c>
      <c r="J32" s="4">
        <v>98.3</v>
      </c>
      <c r="K32" s="4" t="s">
        <v>0</v>
      </c>
      <c r="L32" s="4">
        <v>1.34</v>
      </c>
      <c r="M32" s="4" t="s">
        <v>3</v>
      </c>
      <c r="N32" s="4">
        <v>83697770</v>
      </c>
      <c r="T32" s="7"/>
      <c r="U32" s="7"/>
      <c r="V32" s="7"/>
    </row>
    <row r="33" spans="1:22" x14ac:dyDescent="0.3">
      <c r="A33" s="5" t="s">
        <v>9</v>
      </c>
      <c r="B33" s="5" t="s">
        <v>8</v>
      </c>
      <c r="C33" s="8">
        <v>202041</v>
      </c>
      <c r="D33" s="8">
        <v>471428</v>
      </c>
      <c r="E33" s="5">
        <v>673469</v>
      </c>
      <c r="F33" s="5">
        <v>3741</v>
      </c>
      <c r="G33" s="5">
        <v>665755</v>
      </c>
      <c r="H33" s="5">
        <v>3973</v>
      </c>
      <c r="I33" s="5">
        <v>0.56000000000000005</v>
      </c>
      <c r="J33" s="5">
        <v>98.85</v>
      </c>
      <c r="K33" s="5" t="s">
        <v>3</v>
      </c>
      <c r="L33" s="5">
        <v>0.59</v>
      </c>
      <c r="M33" s="5" t="s">
        <v>0</v>
      </c>
      <c r="N33" s="5">
        <v>38157311</v>
      </c>
      <c r="T33" s="7"/>
      <c r="U33" s="7"/>
      <c r="V33" s="7"/>
    </row>
    <row r="34" spans="1:22" x14ac:dyDescent="0.3">
      <c r="A34" s="4" t="s">
        <v>7</v>
      </c>
      <c r="B34" s="4" t="s">
        <v>1</v>
      </c>
      <c r="C34" s="8">
        <v>25400</v>
      </c>
      <c r="D34" s="8">
        <v>59265</v>
      </c>
      <c r="E34" s="4">
        <v>84665</v>
      </c>
      <c r="F34" s="4">
        <v>116</v>
      </c>
      <c r="G34" s="4">
        <v>83732</v>
      </c>
      <c r="H34" s="4">
        <v>817</v>
      </c>
      <c r="I34" s="4">
        <v>0.14000000000000001</v>
      </c>
      <c r="J34" s="4">
        <v>98.9</v>
      </c>
      <c r="K34" s="4" t="s">
        <v>3</v>
      </c>
      <c r="L34" s="4">
        <v>0.96</v>
      </c>
      <c r="M34" s="4" t="s">
        <v>0</v>
      </c>
      <c r="N34" s="4">
        <v>4184959</v>
      </c>
      <c r="T34" s="7"/>
      <c r="U34" s="7"/>
      <c r="V34" s="7"/>
    </row>
    <row r="35" spans="1:22" x14ac:dyDescent="0.3">
      <c r="A35" s="5" t="s">
        <v>6</v>
      </c>
      <c r="B35" s="5" t="s">
        <v>4</v>
      </c>
      <c r="C35" s="8">
        <v>513078</v>
      </c>
      <c r="D35" s="8">
        <v>1197183</v>
      </c>
      <c r="E35" s="5">
        <v>1710261</v>
      </c>
      <c r="F35" s="5">
        <v>90</v>
      </c>
      <c r="G35" s="5">
        <v>1687262</v>
      </c>
      <c r="H35" s="5">
        <v>22909</v>
      </c>
      <c r="I35" s="5">
        <v>0.01</v>
      </c>
      <c r="J35" s="5">
        <v>98.66</v>
      </c>
      <c r="K35" s="5" t="s">
        <v>3</v>
      </c>
      <c r="L35" s="5">
        <v>1.34</v>
      </c>
      <c r="M35" s="5" t="s">
        <v>3</v>
      </c>
      <c r="N35" s="5">
        <v>231502578</v>
      </c>
      <c r="T35" s="7"/>
      <c r="U35" s="7"/>
      <c r="V35" s="7"/>
    </row>
    <row r="36" spans="1:22" x14ac:dyDescent="0.3">
      <c r="A36" s="4" t="s">
        <v>5</v>
      </c>
      <c r="B36" s="4" t="s">
        <v>4</v>
      </c>
      <c r="C36" s="8">
        <v>103204</v>
      </c>
      <c r="D36" s="8">
        <v>240810</v>
      </c>
      <c r="E36" s="4">
        <v>344014</v>
      </c>
      <c r="F36" s="4">
        <v>158</v>
      </c>
      <c r="G36" s="4">
        <v>336453</v>
      </c>
      <c r="H36" s="4">
        <v>7403</v>
      </c>
      <c r="I36" s="4">
        <v>0.05</v>
      </c>
      <c r="J36" s="4">
        <v>97.8</v>
      </c>
      <c r="K36" s="4" t="s">
        <v>0</v>
      </c>
      <c r="L36" s="4">
        <v>2.15</v>
      </c>
      <c r="M36" s="4" t="s">
        <v>3</v>
      </c>
      <c r="N36" s="4">
        <v>11700099</v>
      </c>
      <c r="T36" s="7"/>
      <c r="U36" s="7"/>
      <c r="V36" s="7"/>
    </row>
    <row r="37" spans="1:22" x14ac:dyDescent="0.3">
      <c r="A37" s="1" t="s">
        <v>2</v>
      </c>
      <c r="B37" s="1" t="s">
        <v>1</v>
      </c>
      <c r="C37" s="8">
        <v>480995</v>
      </c>
      <c r="D37" s="8">
        <v>1122323</v>
      </c>
      <c r="E37" s="1">
        <v>1603318</v>
      </c>
      <c r="F37" s="1">
        <v>8031</v>
      </c>
      <c r="G37" s="1">
        <v>1575980</v>
      </c>
      <c r="H37" s="1">
        <v>19307</v>
      </c>
      <c r="I37" s="1">
        <v>0.5</v>
      </c>
      <c r="J37" s="1">
        <v>98.29</v>
      </c>
      <c r="K37" s="1" t="s">
        <v>0</v>
      </c>
      <c r="L37" s="1">
        <v>1.2</v>
      </c>
      <c r="M37" s="1" t="s">
        <v>0</v>
      </c>
      <c r="N37" s="1">
        <v>100896618</v>
      </c>
      <c r="T37" s="7"/>
      <c r="U37" s="7"/>
      <c r="V37" s="7"/>
    </row>
    <row r="38" spans="1:22" x14ac:dyDescent="0.3">
      <c r="T38" s="7"/>
      <c r="U38" s="7"/>
      <c r="V38" s="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82BC2-6849-4C82-B306-0C508816C622}">
  <dimension ref="A1:D37"/>
  <sheetViews>
    <sheetView workbookViewId="0">
      <selection activeCell="H6" sqref="H6"/>
    </sheetView>
  </sheetViews>
  <sheetFormatPr defaultRowHeight="14.4" x14ac:dyDescent="0.3"/>
  <cols>
    <col min="1" max="1" width="19" bestFit="1" customWidth="1"/>
    <col min="2" max="3" width="10.109375" bestFit="1" customWidth="1"/>
    <col min="4" max="4" width="10" bestFit="1" customWidth="1"/>
  </cols>
  <sheetData>
    <row r="1" spans="1:4" x14ac:dyDescent="0.3">
      <c r="A1" t="s">
        <v>53</v>
      </c>
      <c r="B1" t="s">
        <v>56</v>
      </c>
      <c r="C1" t="s">
        <v>57</v>
      </c>
      <c r="D1" t="s">
        <v>58</v>
      </c>
    </row>
    <row r="2" spans="1:4" x14ac:dyDescent="0.3">
      <c r="A2" t="s">
        <v>41</v>
      </c>
      <c r="B2">
        <v>2301</v>
      </c>
      <c r="C2">
        <v>5369</v>
      </c>
      <c r="D2">
        <v>399001</v>
      </c>
    </row>
    <row r="3" spans="1:4" x14ac:dyDescent="0.3">
      <c r="A3" t="s">
        <v>40</v>
      </c>
      <c r="B3">
        <v>620931</v>
      </c>
      <c r="C3">
        <v>1448839</v>
      </c>
      <c r="D3">
        <v>91702478</v>
      </c>
    </row>
    <row r="4" spans="1:4" x14ac:dyDescent="0.3">
      <c r="A4" t="s">
        <v>39</v>
      </c>
      <c r="B4">
        <v>16565</v>
      </c>
      <c r="C4">
        <v>38651</v>
      </c>
      <c r="D4">
        <v>1711947</v>
      </c>
    </row>
    <row r="5" spans="1:4" x14ac:dyDescent="0.3">
      <c r="A5" t="s">
        <v>38</v>
      </c>
      <c r="B5">
        <v>184135</v>
      </c>
      <c r="C5">
        <v>429649</v>
      </c>
      <c r="D5">
        <v>35998752</v>
      </c>
    </row>
    <row r="6" spans="1:4" x14ac:dyDescent="0.3">
      <c r="A6" t="s">
        <v>37</v>
      </c>
      <c r="B6">
        <v>217846</v>
      </c>
      <c r="C6">
        <v>508307</v>
      </c>
      <c r="D6">
        <v>128500364</v>
      </c>
    </row>
    <row r="7" spans="1:4" x14ac:dyDescent="0.3">
      <c r="A7" t="s">
        <v>36</v>
      </c>
      <c r="B7">
        <v>19614</v>
      </c>
      <c r="C7">
        <v>45766</v>
      </c>
      <c r="D7">
        <v>1158040</v>
      </c>
    </row>
    <row r="8" spans="1:4" x14ac:dyDescent="0.3">
      <c r="A8" t="s">
        <v>35</v>
      </c>
      <c r="B8">
        <v>301898</v>
      </c>
      <c r="C8">
        <v>704428</v>
      </c>
      <c r="D8">
        <v>32199722</v>
      </c>
    </row>
    <row r="9" spans="1:4" x14ac:dyDescent="0.3">
      <c r="A9" t="s">
        <v>34</v>
      </c>
      <c r="B9">
        <v>3205</v>
      </c>
      <c r="C9">
        <v>7477</v>
      </c>
      <c r="D9">
        <v>773997</v>
      </c>
    </row>
    <row r="10" spans="1:4" x14ac:dyDescent="0.3">
      <c r="A10" t="s">
        <v>33</v>
      </c>
      <c r="B10">
        <v>432116</v>
      </c>
      <c r="C10">
        <v>1008272</v>
      </c>
      <c r="D10">
        <v>19301096</v>
      </c>
    </row>
    <row r="11" spans="1:4" x14ac:dyDescent="0.3">
      <c r="A11" t="s">
        <v>32</v>
      </c>
      <c r="B11">
        <v>53540</v>
      </c>
      <c r="C11">
        <v>124927</v>
      </c>
      <c r="D11">
        <v>1521992</v>
      </c>
    </row>
    <row r="12" spans="1:4" x14ac:dyDescent="0.3">
      <c r="A12" t="s">
        <v>31</v>
      </c>
      <c r="B12">
        <v>248077</v>
      </c>
      <c r="C12">
        <v>578847</v>
      </c>
      <c r="D12">
        <v>70400153</v>
      </c>
    </row>
    <row r="13" spans="1:4" x14ac:dyDescent="0.3">
      <c r="A13" t="s">
        <v>30</v>
      </c>
      <c r="B13">
        <v>231426</v>
      </c>
      <c r="C13">
        <v>539994</v>
      </c>
      <c r="D13">
        <v>28900667</v>
      </c>
    </row>
    <row r="14" spans="1:4" x14ac:dyDescent="0.3">
      <c r="A14" t="s">
        <v>29</v>
      </c>
      <c r="B14">
        <v>67714</v>
      </c>
      <c r="C14">
        <v>157998</v>
      </c>
      <c r="D14">
        <v>7503010</v>
      </c>
    </row>
    <row r="15" spans="1:4" x14ac:dyDescent="0.3">
      <c r="A15" t="s">
        <v>28</v>
      </c>
      <c r="B15">
        <v>100202</v>
      </c>
      <c r="C15">
        <v>233804</v>
      </c>
      <c r="D15">
        <v>14999397</v>
      </c>
    </row>
    <row r="16" spans="1:4" x14ac:dyDescent="0.3">
      <c r="A16" t="s">
        <v>27</v>
      </c>
      <c r="B16">
        <v>104698</v>
      </c>
      <c r="C16">
        <v>244294</v>
      </c>
      <c r="D16">
        <v>40100376</v>
      </c>
    </row>
    <row r="17" spans="1:4" x14ac:dyDescent="0.3">
      <c r="A17" t="s">
        <v>26</v>
      </c>
      <c r="B17">
        <v>897484</v>
      </c>
      <c r="C17">
        <v>2094130</v>
      </c>
      <c r="D17">
        <v>69599762</v>
      </c>
    </row>
    <row r="18" spans="1:4" x14ac:dyDescent="0.3">
      <c r="A18" t="s">
        <v>25</v>
      </c>
      <c r="B18">
        <v>1516567</v>
      </c>
      <c r="C18">
        <v>3538657</v>
      </c>
      <c r="D18">
        <v>34698876</v>
      </c>
    </row>
    <row r="19" spans="1:4" x14ac:dyDescent="0.3">
      <c r="A19" t="s">
        <v>24</v>
      </c>
      <c r="B19">
        <v>6344</v>
      </c>
      <c r="C19">
        <v>14804</v>
      </c>
      <c r="D19">
        <v>290492</v>
      </c>
    </row>
    <row r="20" spans="1:4" x14ac:dyDescent="0.3">
      <c r="A20" t="s">
        <v>23</v>
      </c>
      <c r="B20">
        <v>3110</v>
      </c>
      <c r="C20">
        <v>7255</v>
      </c>
      <c r="D20">
        <v>66001</v>
      </c>
    </row>
    <row r="21" spans="1:4" x14ac:dyDescent="0.3">
      <c r="A21" t="s">
        <v>22</v>
      </c>
      <c r="B21">
        <v>237887</v>
      </c>
      <c r="C21">
        <v>555069</v>
      </c>
      <c r="D21">
        <v>85002417</v>
      </c>
    </row>
    <row r="22" spans="1:4" x14ac:dyDescent="0.3">
      <c r="A22" t="s">
        <v>21</v>
      </c>
      <c r="B22">
        <v>1987003</v>
      </c>
      <c r="C22">
        <v>4636341</v>
      </c>
      <c r="D22">
        <v>124904071</v>
      </c>
    </row>
    <row r="23" spans="1:4" x14ac:dyDescent="0.3">
      <c r="A23" t="s">
        <v>20</v>
      </c>
      <c r="B23">
        <v>37330</v>
      </c>
      <c r="C23">
        <v>87102</v>
      </c>
      <c r="D23">
        <v>3436948</v>
      </c>
    </row>
    <row r="24" spans="1:4" x14ac:dyDescent="0.3">
      <c r="A24" t="s">
        <v>19</v>
      </c>
      <c r="B24">
        <v>25204</v>
      </c>
      <c r="C24">
        <v>58809</v>
      </c>
      <c r="D24">
        <v>3772103</v>
      </c>
    </row>
    <row r="25" spans="1:4" x14ac:dyDescent="0.3">
      <c r="A25" t="s">
        <v>18</v>
      </c>
      <c r="B25">
        <v>38581</v>
      </c>
      <c r="C25">
        <v>90023</v>
      </c>
      <c r="D25">
        <v>1308967</v>
      </c>
    </row>
    <row r="26" spans="1:4" x14ac:dyDescent="0.3">
      <c r="A26" t="s">
        <v>17</v>
      </c>
      <c r="B26">
        <v>9593</v>
      </c>
      <c r="C26">
        <v>22385</v>
      </c>
      <c r="D26">
        <v>2073074</v>
      </c>
    </row>
    <row r="27" spans="1:4" x14ac:dyDescent="0.3">
      <c r="A27" t="s">
        <v>16</v>
      </c>
      <c r="B27">
        <v>313563</v>
      </c>
      <c r="C27">
        <v>731646</v>
      </c>
      <c r="D27">
        <v>47099270</v>
      </c>
    </row>
    <row r="28" spans="1:4" x14ac:dyDescent="0.3">
      <c r="A28" t="s">
        <v>15</v>
      </c>
      <c r="B28">
        <v>38520</v>
      </c>
      <c r="C28">
        <v>89881</v>
      </c>
      <c r="D28">
        <v>1646050</v>
      </c>
    </row>
    <row r="29" spans="1:4" x14ac:dyDescent="0.3">
      <c r="A29" t="s">
        <v>14</v>
      </c>
      <c r="B29">
        <v>180833</v>
      </c>
      <c r="C29">
        <v>421945</v>
      </c>
      <c r="D29">
        <v>30501026</v>
      </c>
    </row>
    <row r="30" spans="1:4" x14ac:dyDescent="0.3">
      <c r="A30" t="s">
        <v>13</v>
      </c>
      <c r="B30">
        <v>286351</v>
      </c>
      <c r="C30">
        <v>668152</v>
      </c>
      <c r="D30">
        <v>79502477</v>
      </c>
    </row>
    <row r="31" spans="1:4" x14ac:dyDescent="0.3">
      <c r="A31" t="s">
        <v>11</v>
      </c>
      <c r="B31">
        <v>9629</v>
      </c>
      <c r="C31">
        <v>22467</v>
      </c>
      <c r="D31">
        <v>658019</v>
      </c>
    </row>
    <row r="32" spans="1:4" x14ac:dyDescent="0.3">
      <c r="A32" t="s">
        <v>10</v>
      </c>
      <c r="B32">
        <v>814208</v>
      </c>
      <c r="C32">
        <v>1899817</v>
      </c>
      <c r="D32">
        <v>83697770</v>
      </c>
    </row>
    <row r="33" spans="1:4" x14ac:dyDescent="0.3">
      <c r="A33" t="s">
        <v>9</v>
      </c>
      <c r="B33">
        <v>202041</v>
      </c>
      <c r="C33">
        <v>471428</v>
      </c>
      <c r="D33">
        <v>38157311</v>
      </c>
    </row>
    <row r="34" spans="1:4" x14ac:dyDescent="0.3">
      <c r="A34" t="s">
        <v>7</v>
      </c>
      <c r="B34">
        <v>25400</v>
      </c>
      <c r="C34">
        <v>59265</v>
      </c>
      <c r="D34">
        <v>4184959</v>
      </c>
    </row>
    <row r="35" spans="1:4" x14ac:dyDescent="0.3">
      <c r="A35" t="s">
        <v>6</v>
      </c>
      <c r="B35">
        <v>513078</v>
      </c>
      <c r="C35">
        <v>1197183</v>
      </c>
      <c r="D35">
        <v>231502578</v>
      </c>
    </row>
    <row r="36" spans="1:4" x14ac:dyDescent="0.3">
      <c r="A36" t="s">
        <v>5</v>
      </c>
      <c r="B36">
        <v>103204</v>
      </c>
      <c r="C36">
        <v>240810</v>
      </c>
      <c r="D36">
        <v>11700099</v>
      </c>
    </row>
    <row r="37" spans="1:4" x14ac:dyDescent="0.3">
      <c r="A37" t="s">
        <v>2</v>
      </c>
      <c r="B37">
        <v>480995</v>
      </c>
      <c r="C37">
        <v>1122323</v>
      </c>
      <c r="D37">
        <v>100896618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C2FC8-6900-4B1A-BBC0-7BC0E000FAA0}">
  <dimension ref="F4:AS41"/>
  <sheetViews>
    <sheetView topLeftCell="AI1" workbookViewId="0">
      <selection activeCell="AQ4" sqref="AQ4:AS9"/>
    </sheetView>
  </sheetViews>
  <sheetFormatPr defaultRowHeight="14.4" x14ac:dyDescent="0.3"/>
  <cols>
    <col min="1" max="1" width="19" bestFit="1" customWidth="1"/>
    <col min="2" max="3" width="16.21875" bestFit="1" customWidth="1"/>
    <col min="4" max="4" width="16.5546875" bestFit="1" customWidth="1"/>
    <col min="6" max="6" width="12.44140625" bestFit="1" customWidth="1"/>
    <col min="7" max="7" width="12.77734375" bestFit="1" customWidth="1"/>
    <col min="9" max="9" width="12.44140625" bestFit="1" customWidth="1"/>
    <col min="10" max="10" width="12.21875" bestFit="1" customWidth="1"/>
    <col min="12" max="12" width="19" bestFit="1" customWidth="1"/>
    <col min="13" max="13" width="16.109375" bestFit="1" customWidth="1"/>
    <col min="14" max="14" width="17" bestFit="1" customWidth="1"/>
    <col min="16" max="16" width="12.44140625" bestFit="1" customWidth="1"/>
    <col min="17" max="17" width="10.44140625" bestFit="1" customWidth="1"/>
    <col min="18" max="18" width="7" bestFit="1" customWidth="1"/>
    <col min="19" max="19" width="10.33203125" bestFit="1" customWidth="1"/>
    <col min="20" max="20" width="7.109375" bestFit="1" customWidth="1"/>
    <col min="22" max="22" width="13.88671875" bestFit="1" customWidth="1"/>
    <col min="23" max="23" width="16.5546875" bestFit="1" customWidth="1"/>
    <col min="24" max="24" width="16.44140625" bestFit="1" customWidth="1"/>
    <col min="25" max="25" width="12.77734375" bestFit="1" customWidth="1"/>
    <col min="26" max="27" width="12.21875" bestFit="1" customWidth="1"/>
    <col min="28" max="28" width="17.21875" bestFit="1" customWidth="1"/>
    <col min="29" max="29" width="19.5546875" bestFit="1" customWidth="1"/>
    <col min="30" max="30" width="23" bestFit="1" customWidth="1"/>
    <col min="31" max="31" width="19.88671875" bestFit="1" customWidth="1"/>
    <col min="33" max="33" width="19" bestFit="1" customWidth="1"/>
    <col min="34" max="35" width="16.21875" bestFit="1" customWidth="1"/>
    <col min="38" max="38" width="14.33203125" bestFit="1" customWidth="1"/>
    <col min="39" max="39" width="16.5546875" bestFit="1" customWidth="1"/>
    <col min="40" max="40" width="16.109375" bestFit="1" customWidth="1"/>
    <col min="43" max="43" width="13.88671875" bestFit="1" customWidth="1"/>
    <col min="44" max="44" width="10.44140625" bestFit="1" customWidth="1"/>
    <col min="45" max="45" width="10" bestFit="1" customWidth="1"/>
  </cols>
  <sheetData>
    <row r="4" spans="6:45" x14ac:dyDescent="0.3">
      <c r="F4" s="2" t="s">
        <v>54</v>
      </c>
      <c r="G4" t="s">
        <v>61</v>
      </c>
      <c r="I4" s="2" t="s">
        <v>54</v>
      </c>
      <c r="J4" t="s">
        <v>62</v>
      </c>
      <c r="L4" s="2" t="s">
        <v>54</v>
      </c>
      <c r="M4" t="s">
        <v>63</v>
      </c>
      <c r="N4" t="s">
        <v>64</v>
      </c>
      <c r="P4" s="2" t="s">
        <v>54</v>
      </c>
      <c r="Q4" t="s">
        <v>51</v>
      </c>
      <c r="R4" t="s">
        <v>50</v>
      </c>
      <c r="S4" t="s">
        <v>49</v>
      </c>
      <c r="T4" t="s">
        <v>67</v>
      </c>
      <c r="V4" s="2" t="s">
        <v>54</v>
      </c>
      <c r="W4" t="s">
        <v>65</v>
      </c>
      <c r="X4" t="s">
        <v>66</v>
      </c>
      <c r="Y4" t="s">
        <v>61</v>
      </c>
      <c r="Z4" t="s">
        <v>62</v>
      </c>
      <c r="AB4" s="2" t="s">
        <v>54</v>
      </c>
      <c r="AC4" t="s">
        <v>69</v>
      </c>
      <c r="AD4" t="s">
        <v>70</v>
      </c>
      <c r="AE4" t="s">
        <v>68</v>
      </c>
      <c r="AG4" s="2" t="s">
        <v>54</v>
      </c>
      <c r="AH4" t="s">
        <v>59</v>
      </c>
      <c r="AI4" t="s">
        <v>60</v>
      </c>
      <c r="AL4" s="2" t="s">
        <v>54</v>
      </c>
      <c r="AM4" t="s">
        <v>65</v>
      </c>
      <c r="AN4" t="s">
        <v>63</v>
      </c>
      <c r="AQ4" s="2" t="s">
        <v>72</v>
      </c>
      <c r="AR4" t="s">
        <v>51</v>
      </c>
      <c r="AS4" t="s">
        <v>42</v>
      </c>
    </row>
    <row r="5" spans="6:45" x14ac:dyDescent="0.3">
      <c r="F5" s="3" t="s">
        <v>1</v>
      </c>
      <c r="G5">
        <v>68173</v>
      </c>
      <c r="I5" s="3" t="s">
        <v>1</v>
      </c>
      <c r="J5">
        <v>21406</v>
      </c>
      <c r="L5" s="3" t="s">
        <v>41</v>
      </c>
      <c r="M5">
        <v>399001</v>
      </c>
      <c r="N5">
        <v>0.09</v>
      </c>
      <c r="P5" s="3" t="s">
        <v>1</v>
      </c>
      <c r="Q5">
        <v>5884786</v>
      </c>
      <c r="R5">
        <v>21406</v>
      </c>
      <c r="S5">
        <v>5795207</v>
      </c>
      <c r="T5">
        <v>68173</v>
      </c>
      <c r="V5" s="3" t="s">
        <v>35</v>
      </c>
      <c r="W5">
        <v>1006326</v>
      </c>
      <c r="X5">
        <v>992508</v>
      </c>
      <c r="Y5">
        <v>13588</v>
      </c>
      <c r="Z5">
        <v>230</v>
      </c>
      <c r="AB5" s="3" t="s">
        <v>38</v>
      </c>
      <c r="AC5" s="10">
        <v>0.99</v>
      </c>
      <c r="AD5" s="10">
        <v>98.48</v>
      </c>
      <c r="AE5" s="10">
        <v>0.53</v>
      </c>
      <c r="AG5" s="3" t="s">
        <v>41</v>
      </c>
      <c r="AH5" s="12">
        <v>2301</v>
      </c>
      <c r="AI5" s="12">
        <v>5369</v>
      </c>
      <c r="AL5" s="3" t="s">
        <v>40</v>
      </c>
      <c r="AM5" s="12">
        <v>2069770</v>
      </c>
      <c r="AN5" s="12">
        <v>91702478</v>
      </c>
      <c r="AQ5" s="3" t="s">
        <v>40</v>
      </c>
      <c r="AR5" s="12">
        <v>2069770</v>
      </c>
      <c r="AS5" s="12">
        <v>91702478</v>
      </c>
    </row>
    <row r="6" spans="6:45" x14ac:dyDescent="0.3">
      <c r="F6" s="3" t="s">
        <v>4</v>
      </c>
      <c r="G6">
        <v>91317</v>
      </c>
      <c r="I6" s="3" t="s">
        <v>4</v>
      </c>
      <c r="J6">
        <v>3795</v>
      </c>
      <c r="L6" s="3" t="s">
        <v>40</v>
      </c>
      <c r="M6">
        <v>91702478</v>
      </c>
      <c r="N6">
        <v>0.15</v>
      </c>
      <c r="P6" s="3" t="s">
        <v>4</v>
      </c>
      <c r="Q6">
        <v>5515107</v>
      </c>
      <c r="R6">
        <v>3795</v>
      </c>
      <c r="S6">
        <v>5419995</v>
      </c>
      <c r="T6">
        <v>91317</v>
      </c>
      <c r="V6" s="3" t="s">
        <v>16</v>
      </c>
      <c r="W6">
        <v>1045209</v>
      </c>
      <c r="X6">
        <v>1034300</v>
      </c>
      <c r="Y6">
        <v>8375</v>
      </c>
      <c r="Z6">
        <v>2534</v>
      </c>
      <c r="AB6" s="3" t="s">
        <v>29</v>
      </c>
      <c r="AC6" s="10">
        <v>1.69</v>
      </c>
      <c r="AD6" s="10">
        <v>97.82</v>
      </c>
      <c r="AE6" s="10">
        <v>0.49</v>
      </c>
      <c r="AG6" s="3" t="s">
        <v>40</v>
      </c>
      <c r="AH6" s="12">
        <v>620931</v>
      </c>
      <c r="AI6" s="12">
        <v>1448839</v>
      </c>
      <c r="AL6" s="3" t="s">
        <v>37</v>
      </c>
      <c r="AM6" s="12">
        <v>726153</v>
      </c>
      <c r="AN6" s="12">
        <v>128500364</v>
      </c>
      <c r="AQ6" s="3" t="s">
        <v>37</v>
      </c>
      <c r="AR6" s="12">
        <v>726153</v>
      </c>
      <c r="AS6" s="12">
        <v>128500364</v>
      </c>
    </row>
    <row r="7" spans="6:45" x14ac:dyDescent="0.3">
      <c r="F7" s="3" t="s">
        <v>8</v>
      </c>
      <c r="G7">
        <v>130529</v>
      </c>
      <c r="I7" s="3" t="s">
        <v>8</v>
      </c>
      <c r="J7">
        <v>94216</v>
      </c>
      <c r="L7" s="3" t="s">
        <v>39</v>
      </c>
      <c r="M7">
        <v>1711947</v>
      </c>
      <c r="N7">
        <v>0.08</v>
      </c>
      <c r="P7" s="3" t="s">
        <v>8</v>
      </c>
      <c r="Q7">
        <v>13650538</v>
      </c>
      <c r="R7">
        <v>94216</v>
      </c>
      <c r="S7">
        <v>13425793</v>
      </c>
      <c r="T7">
        <v>130529</v>
      </c>
      <c r="V7" s="3" t="s">
        <v>33</v>
      </c>
      <c r="W7">
        <v>1440388</v>
      </c>
      <c r="X7">
        <v>1414934</v>
      </c>
      <c r="Y7">
        <v>25093</v>
      </c>
      <c r="Z7">
        <v>361</v>
      </c>
      <c r="AB7" s="3" t="s">
        <v>28</v>
      </c>
      <c r="AC7" s="10">
        <v>1.33</v>
      </c>
      <c r="AD7" s="10">
        <v>98.23</v>
      </c>
      <c r="AE7" s="10">
        <v>0.43</v>
      </c>
      <c r="AG7" s="3" t="s">
        <v>39</v>
      </c>
      <c r="AH7" s="12">
        <v>16565</v>
      </c>
      <c r="AI7" s="12">
        <v>38651</v>
      </c>
      <c r="AL7" s="3" t="s">
        <v>31</v>
      </c>
      <c r="AM7" s="12">
        <v>826924</v>
      </c>
      <c r="AN7" s="12">
        <v>70400153</v>
      </c>
      <c r="AQ7" s="3" t="s">
        <v>21</v>
      </c>
      <c r="AR7" s="12">
        <v>6623344</v>
      </c>
      <c r="AS7" s="12">
        <v>124904071</v>
      </c>
    </row>
    <row r="8" spans="6:45" x14ac:dyDescent="0.3">
      <c r="F8" s="3" t="s">
        <v>12</v>
      </c>
      <c r="G8">
        <v>173511</v>
      </c>
      <c r="I8" s="3" t="s">
        <v>12</v>
      </c>
      <c r="J8">
        <v>16501</v>
      </c>
      <c r="L8" s="3" t="s">
        <v>38</v>
      </c>
      <c r="M8">
        <v>35998752</v>
      </c>
      <c r="N8">
        <v>0.53</v>
      </c>
      <c r="P8" s="3" t="s">
        <v>12</v>
      </c>
      <c r="Q8">
        <v>9386876</v>
      </c>
      <c r="R8">
        <v>16501</v>
      </c>
      <c r="S8">
        <v>9196864</v>
      </c>
      <c r="T8">
        <v>173511</v>
      </c>
      <c r="V8" s="3" t="s">
        <v>2</v>
      </c>
      <c r="W8">
        <v>1603318</v>
      </c>
      <c r="X8">
        <v>1575980</v>
      </c>
      <c r="Y8">
        <v>19307</v>
      </c>
      <c r="Z8">
        <v>8031</v>
      </c>
      <c r="AB8" s="3" t="s">
        <v>25</v>
      </c>
      <c r="AC8" s="10">
        <v>0.71</v>
      </c>
      <c r="AD8" s="10">
        <v>97.92</v>
      </c>
      <c r="AE8" s="10">
        <v>1.37</v>
      </c>
      <c r="AG8" s="3" t="s">
        <v>38</v>
      </c>
      <c r="AH8" s="12">
        <v>184135</v>
      </c>
      <c r="AI8" s="12">
        <v>429649</v>
      </c>
      <c r="AL8" s="3" t="s">
        <v>26</v>
      </c>
      <c r="AM8" s="12">
        <v>2991614</v>
      </c>
      <c r="AN8" s="12">
        <v>69599762</v>
      </c>
      <c r="AQ8" s="3" t="s">
        <v>6</v>
      </c>
      <c r="AR8" s="12">
        <v>1710261</v>
      </c>
      <c r="AS8" s="12">
        <v>231502578</v>
      </c>
    </row>
    <row r="9" spans="6:45" x14ac:dyDescent="0.3">
      <c r="F9" s="3" t="s">
        <v>55</v>
      </c>
      <c r="G9">
        <v>463530</v>
      </c>
      <c r="I9" s="3" t="s">
        <v>55</v>
      </c>
      <c r="J9">
        <v>135918</v>
      </c>
      <c r="L9" s="3" t="s">
        <v>37</v>
      </c>
      <c r="M9">
        <v>128500364</v>
      </c>
      <c r="N9">
        <v>0</v>
      </c>
      <c r="P9" s="3" t="s">
        <v>55</v>
      </c>
      <c r="Q9">
        <v>34437307</v>
      </c>
      <c r="R9">
        <v>135918</v>
      </c>
      <c r="S9">
        <v>33837859</v>
      </c>
      <c r="T9">
        <v>463530</v>
      </c>
      <c r="V9" s="3" t="s">
        <v>6</v>
      </c>
      <c r="W9">
        <v>1710261</v>
      </c>
      <c r="X9">
        <v>1687262</v>
      </c>
      <c r="Y9">
        <v>22909</v>
      </c>
      <c r="Z9">
        <v>90</v>
      </c>
      <c r="AB9" s="3" t="s">
        <v>24</v>
      </c>
      <c r="AC9" s="10">
        <v>1</v>
      </c>
      <c r="AD9" s="10">
        <v>98.27</v>
      </c>
      <c r="AE9" s="10">
        <v>0.73</v>
      </c>
      <c r="AG9" s="3" t="s">
        <v>37</v>
      </c>
      <c r="AH9" s="12">
        <v>217846</v>
      </c>
      <c r="AI9" s="12">
        <v>508307</v>
      </c>
      <c r="AL9" s="3" t="s">
        <v>22</v>
      </c>
      <c r="AM9" s="12">
        <v>792956</v>
      </c>
      <c r="AN9" s="12">
        <v>85002417</v>
      </c>
      <c r="AQ9" s="3" t="s">
        <v>2</v>
      </c>
      <c r="AR9" s="12">
        <v>1603318</v>
      </c>
      <c r="AS9" s="12">
        <v>100896618</v>
      </c>
    </row>
    <row r="10" spans="6:45" x14ac:dyDescent="0.3">
      <c r="L10" s="3" t="s">
        <v>36</v>
      </c>
      <c r="M10">
        <v>1158040</v>
      </c>
      <c r="N10">
        <v>0.04</v>
      </c>
      <c r="V10" s="3" t="s">
        <v>40</v>
      </c>
      <c r="W10">
        <v>2069770</v>
      </c>
      <c r="X10">
        <v>2052230</v>
      </c>
      <c r="Y10">
        <v>14412</v>
      </c>
      <c r="Z10">
        <v>3128</v>
      </c>
      <c r="AB10" s="3" t="s">
        <v>20</v>
      </c>
      <c r="AC10" s="10">
        <v>1.56</v>
      </c>
      <c r="AD10" s="10">
        <v>97.79</v>
      </c>
      <c r="AE10" s="10">
        <v>0.64</v>
      </c>
      <c r="AG10" s="3" t="s">
        <v>36</v>
      </c>
      <c r="AH10" s="12">
        <v>19614</v>
      </c>
      <c r="AI10" s="12">
        <v>45766</v>
      </c>
      <c r="AL10" s="3" t="s">
        <v>21</v>
      </c>
      <c r="AM10" s="12">
        <v>6623344</v>
      </c>
      <c r="AN10" s="12">
        <v>124904071</v>
      </c>
      <c r="AQ10" s="3" t="s">
        <v>55</v>
      </c>
      <c r="AR10" s="12">
        <v>12732846</v>
      </c>
      <c r="AS10" s="12">
        <v>677506109</v>
      </c>
    </row>
    <row r="11" spans="6:45" x14ac:dyDescent="0.3">
      <c r="L11" s="3" t="s">
        <v>35</v>
      </c>
      <c r="M11">
        <v>32199722</v>
      </c>
      <c r="N11">
        <v>0.02</v>
      </c>
      <c r="V11" s="3" t="s">
        <v>10</v>
      </c>
      <c r="W11">
        <v>2714025</v>
      </c>
      <c r="X11">
        <v>2668001</v>
      </c>
      <c r="Y11">
        <v>36273</v>
      </c>
      <c r="Z11">
        <v>9751</v>
      </c>
      <c r="AB11" s="3" t="s">
        <v>18</v>
      </c>
      <c r="AC11" s="10">
        <v>0.36</v>
      </c>
      <c r="AD11" s="10">
        <v>95.25</v>
      </c>
      <c r="AE11" s="10">
        <v>4.3899999999999997</v>
      </c>
      <c r="AG11" s="3" t="s">
        <v>35</v>
      </c>
      <c r="AH11" s="12">
        <v>301898</v>
      </c>
      <c r="AI11" s="12">
        <v>704428</v>
      </c>
      <c r="AL11" s="3" t="s">
        <v>13</v>
      </c>
      <c r="AM11" s="12">
        <v>954503</v>
      </c>
      <c r="AN11" s="12">
        <v>79502477</v>
      </c>
    </row>
    <row r="12" spans="6:45" x14ac:dyDescent="0.3">
      <c r="L12" s="3" t="s">
        <v>34</v>
      </c>
      <c r="M12">
        <v>773997</v>
      </c>
      <c r="N12">
        <v>0</v>
      </c>
      <c r="V12" s="3" t="s">
        <v>26</v>
      </c>
      <c r="W12">
        <v>2991614</v>
      </c>
      <c r="X12">
        <v>2945415</v>
      </c>
      <c r="Y12">
        <v>38143</v>
      </c>
      <c r="Z12">
        <v>8056</v>
      </c>
      <c r="AB12" s="3" t="s">
        <v>17</v>
      </c>
      <c r="AC12" s="10">
        <v>2.16</v>
      </c>
      <c r="AD12" s="10">
        <v>97.33</v>
      </c>
      <c r="AE12" s="10">
        <v>0.51</v>
      </c>
      <c r="AG12" s="3" t="s">
        <v>34</v>
      </c>
      <c r="AH12" s="12">
        <v>3205</v>
      </c>
      <c r="AI12" s="12">
        <v>7477</v>
      </c>
      <c r="AL12" s="3" t="s">
        <v>10</v>
      </c>
      <c r="AM12" s="12">
        <v>2714025</v>
      </c>
      <c r="AN12" s="12">
        <v>83697770</v>
      </c>
    </row>
    <row r="13" spans="6:45" x14ac:dyDescent="0.3">
      <c r="L13" s="3" t="s">
        <v>33</v>
      </c>
      <c r="M13">
        <v>19301096</v>
      </c>
      <c r="N13">
        <v>0.03</v>
      </c>
      <c r="V13" s="3" t="s">
        <v>25</v>
      </c>
      <c r="W13">
        <v>5055224</v>
      </c>
      <c r="X13">
        <v>4950281</v>
      </c>
      <c r="Y13">
        <v>35685</v>
      </c>
      <c r="Z13">
        <v>69258</v>
      </c>
      <c r="AB13" s="3" t="s">
        <v>9</v>
      </c>
      <c r="AC13" s="10">
        <v>0.59</v>
      </c>
      <c r="AD13" s="10">
        <v>98.85</v>
      </c>
      <c r="AE13" s="10">
        <v>0.56000000000000005</v>
      </c>
      <c r="AG13" s="3" t="s">
        <v>33</v>
      </c>
      <c r="AH13" s="12">
        <v>432116</v>
      </c>
      <c r="AI13" s="12">
        <v>1008272</v>
      </c>
      <c r="AL13" s="3" t="s">
        <v>6</v>
      </c>
      <c r="AM13" s="12">
        <v>1710261</v>
      </c>
      <c r="AN13" s="12">
        <v>231502578</v>
      </c>
    </row>
    <row r="14" spans="6:45" x14ac:dyDescent="0.3">
      <c r="L14" s="3" t="s">
        <v>32</v>
      </c>
      <c r="M14">
        <v>1521992</v>
      </c>
      <c r="N14">
        <v>0.15</v>
      </c>
      <c r="V14" s="3" t="s">
        <v>21</v>
      </c>
      <c r="W14">
        <v>6623344</v>
      </c>
      <c r="X14">
        <v>6466913</v>
      </c>
      <c r="Y14">
        <v>140565</v>
      </c>
      <c r="Z14">
        <v>15866</v>
      </c>
      <c r="AB14" s="3" t="s">
        <v>2</v>
      </c>
      <c r="AC14" s="10">
        <v>1.2</v>
      </c>
      <c r="AD14" s="10">
        <v>98.29</v>
      </c>
      <c r="AE14" s="10">
        <v>0.5</v>
      </c>
      <c r="AG14" s="3" t="s">
        <v>32</v>
      </c>
      <c r="AH14" s="12">
        <v>53540</v>
      </c>
      <c r="AI14" s="12">
        <v>124927</v>
      </c>
      <c r="AL14" s="3" t="s">
        <v>2</v>
      </c>
      <c r="AM14" s="12">
        <v>1603318</v>
      </c>
      <c r="AN14" s="12">
        <v>100896618</v>
      </c>
    </row>
    <row r="15" spans="6:45" x14ac:dyDescent="0.3">
      <c r="L15" s="3" t="s">
        <v>31</v>
      </c>
      <c r="M15">
        <v>70400153</v>
      </c>
      <c r="N15">
        <v>0.03</v>
      </c>
      <c r="V15" s="3" t="s">
        <v>55</v>
      </c>
      <c r="W15">
        <v>26259479</v>
      </c>
      <c r="X15">
        <v>25787824</v>
      </c>
      <c r="Y15">
        <v>354350</v>
      </c>
      <c r="Z15">
        <v>117305</v>
      </c>
      <c r="AB15" s="3" t="s">
        <v>55</v>
      </c>
      <c r="AC15" s="10">
        <v>1.159</v>
      </c>
      <c r="AD15" s="10">
        <v>97.823000000000008</v>
      </c>
      <c r="AE15" s="10">
        <v>1.0150000000000001</v>
      </c>
      <c r="AG15" s="3" t="s">
        <v>31</v>
      </c>
      <c r="AH15" s="12">
        <v>248077</v>
      </c>
      <c r="AI15" s="12">
        <v>578847</v>
      </c>
      <c r="AL15" s="3" t="s">
        <v>55</v>
      </c>
      <c r="AM15" s="12">
        <v>21012868</v>
      </c>
      <c r="AN15" s="12">
        <v>1065708688</v>
      </c>
    </row>
    <row r="16" spans="6:45" x14ac:dyDescent="0.3">
      <c r="L16" s="3" t="s">
        <v>30</v>
      </c>
      <c r="M16">
        <v>28900667</v>
      </c>
      <c r="N16">
        <v>0.02</v>
      </c>
      <c r="AG16" s="3" t="s">
        <v>30</v>
      </c>
      <c r="AH16" s="12">
        <v>231426</v>
      </c>
      <c r="AI16" s="12">
        <v>539994</v>
      </c>
    </row>
    <row r="17" spans="12:35" x14ac:dyDescent="0.3">
      <c r="L17" s="3" t="s">
        <v>29</v>
      </c>
      <c r="M17">
        <v>7503010</v>
      </c>
      <c r="N17">
        <v>0.49</v>
      </c>
      <c r="AG17" s="3" t="s">
        <v>29</v>
      </c>
      <c r="AH17" s="12">
        <v>67714</v>
      </c>
      <c r="AI17" s="12">
        <v>157998</v>
      </c>
    </row>
    <row r="18" spans="12:35" x14ac:dyDescent="0.3">
      <c r="L18" s="3" t="s">
        <v>28</v>
      </c>
      <c r="M18">
        <v>14999397</v>
      </c>
      <c r="N18">
        <v>0.43</v>
      </c>
      <c r="AG18" s="3" t="s">
        <v>28</v>
      </c>
      <c r="AH18" s="12">
        <v>100202</v>
      </c>
      <c r="AI18" s="12">
        <v>233804</v>
      </c>
    </row>
    <row r="19" spans="12:35" x14ac:dyDescent="0.3">
      <c r="L19" s="3" t="s">
        <v>27</v>
      </c>
      <c r="M19">
        <v>40100376</v>
      </c>
      <c r="N19">
        <v>0.04</v>
      </c>
      <c r="AG19" s="3" t="s">
        <v>27</v>
      </c>
      <c r="AH19" s="12">
        <v>104698</v>
      </c>
      <c r="AI19" s="12">
        <v>244294</v>
      </c>
    </row>
    <row r="20" spans="12:35" x14ac:dyDescent="0.3">
      <c r="L20" s="3" t="s">
        <v>26</v>
      </c>
      <c r="M20">
        <v>69599762</v>
      </c>
      <c r="N20">
        <v>0.27</v>
      </c>
      <c r="AG20" s="3" t="s">
        <v>26</v>
      </c>
      <c r="AH20" s="12">
        <v>897484</v>
      </c>
      <c r="AI20" s="12">
        <v>2094130</v>
      </c>
    </row>
    <row r="21" spans="12:35" x14ac:dyDescent="0.3">
      <c r="L21" s="3" t="s">
        <v>25</v>
      </c>
      <c r="M21">
        <v>34698876</v>
      </c>
      <c r="N21">
        <v>1.37</v>
      </c>
      <c r="AG21" s="3" t="s">
        <v>25</v>
      </c>
      <c r="AH21" s="12">
        <v>1516567</v>
      </c>
      <c r="AI21" s="12">
        <v>3538657</v>
      </c>
    </row>
    <row r="22" spans="12:35" x14ac:dyDescent="0.3">
      <c r="L22" s="3" t="s">
        <v>24</v>
      </c>
      <c r="M22">
        <v>290492</v>
      </c>
      <c r="N22">
        <v>0.73</v>
      </c>
      <c r="AG22" s="3" t="s">
        <v>24</v>
      </c>
      <c r="AH22" s="12">
        <v>6344</v>
      </c>
      <c r="AI22" s="12">
        <v>14804</v>
      </c>
    </row>
    <row r="23" spans="12:35" x14ac:dyDescent="0.3">
      <c r="L23" s="3" t="s">
        <v>23</v>
      </c>
      <c r="M23">
        <v>66001</v>
      </c>
      <c r="N23">
        <v>0</v>
      </c>
      <c r="AG23" s="3" t="s">
        <v>23</v>
      </c>
      <c r="AH23" s="12">
        <v>3110</v>
      </c>
      <c r="AI23" s="12">
        <v>7255</v>
      </c>
    </row>
    <row r="24" spans="12:35" x14ac:dyDescent="0.3">
      <c r="L24" s="3" t="s">
        <v>22</v>
      </c>
      <c r="M24">
        <v>85002417</v>
      </c>
      <c r="N24">
        <v>0.01</v>
      </c>
      <c r="AG24" s="3" t="s">
        <v>22</v>
      </c>
      <c r="AH24" s="12">
        <v>237887</v>
      </c>
      <c r="AI24" s="12">
        <v>555069</v>
      </c>
    </row>
    <row r="25" spans="12:35" x14ac:dyDescent="0.3">
      <c r="L25" s="3" t="s">
        <v>21</v>
      </c>
      <c r="M25">
        <v>124904071</v>
      </c>
      <c r="N25">
        <v>0.24</v>
      </c>
      <c r="AG25" s="3" t="s">
        <v>21</v>
      </c>
      <c r="AH25" s="12">
        <v>1987003</v>
      </c>
      <c r="AI25" s="12">
        <v>4636341</v>
      </c>
    </row>
    <row r="26" spans="12:35" x14ac:dyDescent="0.3">
      <c r="L26" s="3" t="s">
        <v>20</v>
      </c>
      <c r="M26">
        <v>3436948</v>
      </c>
      <c r="N26">
        <v>0.64</v>
      </c>
      <c r="AG26" s="3" t="s">
        <v>20</v>
      </c>
      <c r="AH26" s="12">
        <v>37330</v>
      </c>
      <c r="AI26" s="12">
        <v>87102</v>
      </c>
    </row>
    <row r="27" spans="12:35" x14ac:dyDescent="0.3">
      <c r="L27" s="3" t="s">
        <v>19</v>
      </c>
      <c r="M27">
        <v>3772103</v>
      </c>
      <c r="N27">
        <v>0.33</v>
      </c>
      <c r="AG27" s="3" t="s">
        <v>19</v>
      </c>
      <c r="AH27" s="12">
        <v>25204</v>
      </c>
      <c r="AI27" s="12">
        <v>58809</v>
      </c>
    </row>
    <row r="28" spans="12:35" x14ac:dyDescent="0.3">
      <c r="L28" s="3" t="s">
        <v>18</v>
      </c>
      <c r="M28">
        <v>1308967</v>
      </c>
      <c r="N28">
        <v>4.3899999999999997</v>
      </c>
      <c r="AG28" s="3" t="s">
        <v>18</v>
      </c>
      <c r="AH28" s="12">
        <v>38581</v>
      </c>
      <c r="AI28" s="12">
        <v>90023</v>
      </c>
    </row>
    <row r="29" spans="12:35" x14ac:dyDescent="0.3">
      <c r="L29" s="3" t="s">
        <v>17</v>
      </c>
      <c r="M29">
        <v>2073074</v>
      </c>
      <c r="N29">
        <v>0.51</v>
      </c>
      <c r="AG29" s="3" t="s">
        <v>17</v>
      </c>
      <c r="AH29" s="12">
        <v>9593</v>
      </c>
      <c r="AI29" s="12">
        <v>22385</v>
      </c>
    </row>
    <row r="30" spans="12:35" x14ac:dyDescent="0.3">
      <c r="L30" s="3" t="s">
        <v>16</v>
      </c>
      <c r="M30">
        <v>47099270</v>
      </c>
      <c r="N30">
        <v>0.24</v>
      </c>
      <c r="AG30" s="3" t="s">
        <v>16</v>
      </c>
      <c r="AH30" s="12">
        <v>313563</v>
      </c>
      <c r="AI30" s="12">
        <v>731646</v>
      </c>
    </row>
    <row r="31" spans="12:35" x14ac:dyDescent="0.3">
      <c r="L31" s="3" t="s">
        <v>15</v>
      </c>
      <c r="M31">
        <v>1646050</v>
      </c>
      <c r="N31">
        <v>0.21</v>
      </c>
      <c r="AG31" s="3" t="s">
        <v>15</v>
      </c>
      <c r="AH31" s="12">
        <v>38520</v>
      </c>
      <c r="AI31" s="12">
        <v>89881</v>
      </c>
    </row>
    <row r="32" spans="12:35" x14ac:dyDescent="0.3">
      <c r="L32" s="3" t="s">
        <v>14</v>
      </c>
      <c r="M32">
        <v>30501026</v>
      </c>
      <c r="N32">
        <v>0.05</v>
      </c>
      <c r="AG32" s="3" t="s">
        <v>14</v>
      </c>
      <c r="AH32" s="12">
        <v>180833</v>
      </c>
      <c r="AI32" s="12">
        <v>421945</v>
      </c>
    </row>
    <row r="33" spans="12:35" x14ac:dyDescent="0.3">
      <c r="L33" s="3" t="s">
        <v>13</v>
      </c>
      <c r="M33">
        <v>79502477</v>
      </c>
      <c r="N33">
        <v>0.01</v>
      </c>
      <c r="AG33" s="3" t="s">
        <v>13</v>
      </c>
      <c r="AH33" s="12">
        <v>286351</v>
      </c>
      <c r="AI33" s="12">
        <v>668152</v>
      </c>
    </row>
    <row r="34" spans="12:35" x14ac:dyDescent="0.3">
      <c r="L34" s="3" t="s">
        <v>11</v>
      </c>
      <c r="M34">
        <v>658019</v>
      </c>
      <c r="N34">
        <v>0.38</v>
      </c>
      <c r="AG34" s="3" t="s">
        <v>11</v>
      </c>
      <c r="AH34" s="12">
        <v>9629</v>
      </c>
      <c r="AI34" s="12">
        <v>22467</v>
      </c>
    </row>
    <row r="35" spans="12:35" x14ac:dyDescent="0.3">
      <c r="L35" s="3" t="s">
        <v>10</v>
      </c>
      <c r="M35">
        <v>83697770</v>
      </c>
      <c r="N35">
        <v>0.36</v>
      </c>
      <c r="AG35" s="3" t="s">
        <v>10</v>
      </c>
      <c r="AH35" s="12">
        <v>814208</v>
      </c>
      <c r="AI35" s="12">
        <v>1899817</v>
      </c>
    </row>
    <row r="36" spans="12:35" x14ac:dyDescent="0.3">
      <c r="L36" s="3" t="s">
        <v>9</v>
      </c>
      <c r="M36">
        <v>38157311</v>
      </c>
      <c r="N36">
        <v>0.56000000000000005</v>
      </c>
      <c r="AG36" s="3" t="s">
        <v>9</v>
      </c>
      <c r="AH36" s="12">
        <v>202041</v>
      </c>
      <c r="AI36" s="12">
        <v>471428</v>
      </c>
    </row>
    <row r="37" spans="12:35" x14ac:dyDescent="0.3">
      <c r="L37" s="3" t="s">
        <v>7</v>
      </c>
      <c r="M37">
        <v>4184959</v>
      </c>
      <c r="N37">
        <v>0.14000000000000001</v>
      </c>
      <c r="AG37" s="3" t="s">
        <v>7</v>
      </c>
      <c r="AH37" s="12">
        <v>25400</v>
      </c>
      <c r="AI37" s="12">
        <v>59265</v>
      </c>
    </row>
    <row r="38" spans="12:35" x14ac:dyDescent="0.3">
      <c r="L38" s="3" t="s">
        <v>6</v>
      </c>
      <c r="M38">
        <v>231502578</v>
      </c>
      <c r="N38">
        <v>0.01</v>
      </c>
      <c r="AG38" s="3" t="s">
        <v>6</v>
      </c>
      <c r="AH38" s="12">
        <v>513078</v>
      </c>
      <c r="AI38" s="12">
        <v>1197183</v>
      </c>
    </row>
    <row r="39" spans="12:35" x14ac:dyDescent="0.3">
      <c r="L39" s="3" t="s">
        <v>5</v>
      </c>
      <c r="M39">
        <v>11700099</v>
      </c>
      <c r="N39">
        <v>0.05</v>
      </c>
      <c r="AG39" s="3" t="s">
        <v>5</v>
      </c>
      <c r="AH39" s="12">
        <v>103204</v>
      </c>
      <c r="AI39" s="12">
        <v>240810</v>
      </c>
    </row>
    <row r="40" spans="12:35" x14ac:dyDescent="0.3">
      <c r="L40" s="3" t="s">
        <v>2</v>
      </c>
      <c r="M40">
        <v>100896618</v>
      </c>
      <c r="N40">
        <v>0.5</v>
      </c>
      <c r="AG40" s="3" t="s">
        <v>2</v>
      </c>
      <c r="AH40" s="12">
        <v>480995</v>
      </c>
      <c r="AI40" s="12">
        <v>1122323</v>
      </c>
    </row>
    <row r="41" spans="12:35" x14ac:dyDescent="0.3">
      <c r="L41" s="3" t="s">
        <v>55</v>
      </c>
      <c r="M41">
        <v>1429869880</v>
      </c>
      <c r="N41">
        <v>13.100000000000003</v>
      </c>
      <c r="AG41" s="3" t="s">
        <v>55</v>
      </c>
      <c r="AH41" s="12">
        <v>10331193</v>
      </c>
      <c r="AI41" s="12">
        <v>24106114</v>
      </c>
    </row>
  </sheetData>
  <conditionalFormatting sqref="AR4">
    <cfRule type="colorScale" priority="5">
      <colorScale>
        <cfvo type="min"/>
        <cfvo type="percentile" val="50"/>
        <cfvo type="max"/>
        <color rgb="FF63BE7B"/>
        <color rgb="FFFFEB84"/>
        <color rgb="FFF8696B"/>
      </colorScale>
    </cfRule>
  </conditionalFormatting>
  <conditionalFormatting pivot="1" sqref="AS5:AS9">
    <cfRule type="dataBar" priority="1">
      <dataBar>
        <cfvo type="min"/>
        <cfvo type="max"/>
        <color rgb="FF63C384"/>
      </dataBar>
      <extLst>
        <ext xmlns:x14="http://schemas.microsoft.com/office/spreadsheetml/2009/9/main" uri="{B025F937-C7B1-47D3-B67F-A62EFF666E3E}">
          <x14:id>{0CE3F7D2-9894-4081-9016-85C1C6B088D1}</x14:id>
        </ext>
      </extLst>
    </cfRule>
  </conditionalFormatting>
  <conditionalFormatting pivot="1" sqref="AR5:AR9">
    <cfRule type="dataBar" priority="2">
      <dataBar>
        <cfvo type="min"/>
        <cfvo type="max"/>
        <color rgb="FFFF555A"/>
      </dataBar>
      <extLst>
        <ext xmlns:x14="http://schemas.microsoft.com/office/spreadsheetml/2009/9/main" uri="{B025F937-C7B1-47D3-B67F-A62EFF666E3E}">
          <x14:id>{4F131BBF-728B-44B4-8811-37647B73A98B}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CE3F7D2-9894-4081-9016-85C1C6B088D1}">
            <x14:dataBar minLength="0" maxLength="100" border="1" negativeBarBorderColorSameAsPositive="0">
              <x14:cfvo type="autoMin"/>
              <x14:cfvo type="autoMax"/>
              <x14:borderColor rgb="FF63C384"/>
              <x14:negativeFillColor rgb="FFFF0000"/>
              <x14:negativeBorderColor rgb="FFFF0000"/>
              <x14:axisColor rgb="FF000000"/>
            </x14:dataBar>
          </x14:cfRule>
          <xm:sqref>AS5:AS9</xm:sqref>
        </x14:conditionalFormatting>
        <x14:conditionalFormatting xmlns:xm="http://schemas.microsoft.com/office/excel/2006/main" pivot="1">
          <x14:cfRule type="dataBar" id="{4F131BBF-728B-44B4-8811-37647B73A98B}">
            <x14:dataBar minLength="0" maxLength="100" border="1" negativeBarBorderColorSameAsPositive="0">
              <x14:cfvo type="autoMin"/>
              <x14:cfvo type="autoMax"/>
              <x14:borderColor rgb="FFFF555A"/>
              <x14:negativeFillColor rgb="FFFF0000"/>
              <x14:negativeBorderColor rgb="FFFF0000"/>
              <x14:axisColor rgb="FF000000"/>
            </x14:dataBar>
          </x14:cfRule>
          <xm:sqref>AR5:AR9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174B-5551-430E-A319-9A0DB0E21B3E}">
  <dimension ref="A1:X2"/>
  <sheetViews>
    <sheetView showGridLines="0" tabSelected="1" zoomScale="61" zoomScaleNormal="68" workbookViewId="0">
      <selection activeCell="Z29" sqref="Z29"/>
    </sheetView>
  </sheetViews>
  <sheetFormatPr defaultRowHeight="14.4" x14ac:dyDescent="0.3"/>
  <cols>
    <col min="10" max="10" width="8.88671875" customWidth="1"/>
    <col min="24" max="24" width="14.33203125" customWidth="1"/>
  </cols>
  <sheetData>
    <row r="1" spans="1:24" ht="55.2" customHeight="1" x14ac:dyDescent="0.3">
      <c r="A1" s="11" t="s">
        <v>71</v>
      </c>
      <c r="B1" s="11"/>
      <c r="C1" s="11"/>
      <c r="D1" s="11"/>
      <c r="E1" s="11"/>
      <c r="F1" s="11"/>
      <c r="G1" s="11"/>
      <c r="H1" s="11"/>
      <c r="I1" s="11"/>
      <c r="J1" s="11"/>
      <c r="K1" s="11"/>
      <c r="L1" s="11"/>
      <c r="M1" s="11"/>
      <c r="N1" s="11"/>
      <c r="O1" s="11"/>
      <c r="P1" s="11"/>
      <c r="Q1" s="11"/>
      <c r="R1" s="11"/>
      <c r="S1" s="11"/>
      <c r="T1" s="11"/>
      <c r="U1" s="11"/>
      <c r="V1" s="11"/>
      <c r="W1" s="11"/>
      <c r="X1" s="11"/>
    </row>
    <row r="2" spans="1:24" x14ac:dyDescent="0.3">
      <c r="A2" s="11"/>
      <c r="B2" s="11"/>
      <c r="C2" s="11"/>
      <c r="D2" s="11"/>
      <c r="E2" s="11"/>
      <c r="F2" s="11"/>
      <c r="G2" s="11"/>
      <c r="H2" s="11"/>
      <c r="I2" s="11"/>
      <c r="J2" s="11"/>
      <c r="K2" s="11"/>
      <c r="L2" s="11"/>
      <c r="M2" s="11"/>
      <c r="N2" s="11"/>
      <c r="O2" s="11"/>
      <c r="P2" s="11"/>
      <c r="Q2" s="11"/>
      <c r="R2" s="11"/>
      <c r="S2" s="11"/>
      <c r="T2" s="11"/>
      <c r="U2" s="11"/>
      <c r="V2" s="11"/>
      <c r="W2" s="11"/>
      <c r="X2" s="11"/>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population</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shafi</dc:creator>
  <cp:lastModifiedBy>muhammed shafi</cp:lastModifiedBy>
  <dcterms:created xsi:type="dcterms:W3CDTF">2026-02-10T04:58:49Z</dcterms:created>
  <dcterms:modified xsi:type="dcterms:W3CDTF">2026-02-13T09:02:55Z</dcterms:modified>
</cp:coreProperties>
</file>